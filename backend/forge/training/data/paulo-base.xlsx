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ee9af45c496646b/Projects Faculdade/Consultoria/Paulo/"/>
    </mc:Choice>
  </mc:AlternateContent>
  <xr:revisionPtr revIDLastSave="0" documentId="8_{2E274B41-C272-4EE4-9D6C-5C1A0ACB380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Resumo" sheetId="1" r:id="rId1"/>
    <sheet name="Volume Semanal" sheetId="2" r:id="rId2"/>
    <sheet name="Segunda" sheetId="3" r:id="rId3"/>
    <sheet name="Terça" sheetId="4" r:id="rId4"/>
    <sheet name="Quinta" sheetId="5" r:id="rId5"/>
    <sheet name="Sexta" sheetId="6" r:id="rId6"/>
    <sheet name="Hábitos e Recomendações" sheetId="8" r:id="rId7"/>
    <sheet name="Progressão de Carga" sheetId="7" r:id="rId8"/>
    <sheet name="Observações e Diretrize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1" l="1"/>
  <c r="B24" i="1"/>
  <c r="D14" i="5"/>
  <c r="D12" i="4"/>
  <c r="D14" i="3"/>
  <c r="E13" i="2"/>
  <c r="D13" i="2"/>
  <c r="C13" i="2"/>
  <c r="B13" i="2"/>
  <c r="F13" i="2" s="1"/>
  <c r="B32" i="1" s="1"/>
  <c r="E12" i="2"/>
  <c r="D12" i="2"/>
  <c r="C12" i="2"/>
  <c r="B12" i="2"/>
  <c r="F12" i="2" s="1"/>
  <c r="B31" i="1" s="1"/>
  <c r="E11" i="2"/>
  <c r="D11" i="2"/>
  <c r="C11" i="2"/>
  <c r="B11" i="2"/>
  <c r="F11" i="2" s="1"/>
  <c r="B30" i="1" s="1"/>
  <c r="E10" i="2"/>
  <c r="D10" i="2"/>
  <c r="C10" i="2"/>
  <c r="B10" i="2"/>
  <c r="F10" i="2" s="1"/>
  <c r="B29" i="1" s="1"/>
  <c r="E9" i="2"/>
  <c r="D9" i="2"/>
  <c r="C9" i="2"/>
  <c r="B9" i="2"/>
  <c r="F9" i="2" s="1"/>
  <c r="B28" i="1" s="1"/>
  <c r="E8" i="2"/>
  <c r="D8" i="2"/>
  <c r="C8" i="2"/>
  <c r="B8" i="2"/>
  <c r="F8" i="2" s="1"/>
  <c r="B27" i="1" s="1"/>
  <c r="E7" i="2"/>
  <c r="D7" i="2"/>
  <c r="C7" i="2"/>
  <c r="B7" i="2"/>
  <c r="F7" i="2" s="1"/>
  <c r="B26" i="1" s="1"/>
  <c r="E6" i="2"/>
  <c r="D6" i="2"/>
  <c r="C6" i="2"/>
  <c r="F6" i="2" s="1"/>
  <c r="B6" i="2"/>
  <c r="E5" i="2"/>
  <c r="E14" i="2" s="1"/>
  <c r="D5" i="2"/>
  <c r="D14" i="2" s="1"/>
  <c r="C5" i="2"/>
  <c r="C14" i="2" s="1"/>
  <c r="B5" i="2"/>
  <c r="B14" i="2" s="1"/>
  <c r="B8" i="1"/>
  <c r="B5" i="8" s="1"/>
  <c r="B7" i="1"/>
  <c r="D11" i="6"/>
  <c r="F5" i="2" l="1"/>
  <c r="F14" i="2" s="1"/>
</calcChain>
</file>

<file path=xl/sharedStrings.xml><?xml version="1.0" encoding="utf-8"?>
<sst xmlns="http://schemas.openxmlformats.org/spreadsheetml/2006/main" count="333" uniqueCount="209">
  <si>
    <t>PLANO DE TREINO — PAULO</t>
  </si>
  <si>
    <t>Coaching Físico Personalizado  |  Foco: Recomposição Corporal (hipertrofia + perda de gordura + saúde)</t>
  </si>
  <si>
    <t>Dado</t>
  </si>
  <si>
    <t>Valor</t>
  </si>
  <si>
    <t>Observação</t>
  </si>
  <si>
    <t>Peso atual (kg)</t>
  </si>
  <si>
    <t>Altura (m)</t>
  </si>
  <si>
    <t>IMC</t>
  </si>
  <si>
    <t>Vamos priorizar exercícios com bom controle de impacto articular considerando esse número.</t>
  </si>
  <si>
    <t>Meta de hidratação (L/dia)</t>
  </si>
  <si>
    <t>~35ml/kg/dia — ver aba Hábitos e Recomendações</t>
  </si>
  <si>
    <t>Frequência de treino</t>
  </si>
  <si>
    <t>dias/semana, ~60-90min/sessão</t>
  </si>
  <si>
    <t>Split</t>
  </si>
  <si>
    <t>Upper/Lower (A/B)</t>
  </si>
  <si>
    <t>2x/semana por grupo muscular prioritário</t>
  </si>
  <si>
    <t>Objetivo prioritário</t>
  </si>
  <si>
    <t>Recomposição corporal</t>
  </si>
  <si>
    <t>Perder gordura preservando e ganhando músculo, com foco em peito, costas e perna.</t>
  </si>
  <si>
    <t>Horizonte</t>
  </si>
  <si>
    <t>12 meses</t>
  </si>
  <si>
    <t>Vamos reavaliar e revisar o plano a cada 6-8 semanas.</t>
  </si>
  <si>
    <t>PRINCÍPIOS-CHAVE DESTE PLANO</t>
  </si>
  <si>
    <t>• Controlar sempre a descida do movimento (2-3 segundos) — na 1ª série de cada exercício, subir e descer mais devagar (conexão mente-músculo).</t>
  </si>
  <si>
    <t>• Aumentar a carga progressivamente sempre que atingir o topo da faixa de repetições, respeitando a execução.</t>
  </si>
  <si>
    <t>• Em exercícios seguros de máquina, ao chegar à falha, fazer algumas repetições parciais.</t>
  </si>
  <si>
    <t>VOLUME SEMANAL POR GRUPO MUSCULAR (resumo)</t>
  </si>
  <si>
    <t>Grupo Muscular</t>
  </si>
  <si>
    <t>Peito</t>
  </si>
  <si>
    <t>Costas</t>
  </si>
  <si>
    <t>Ombro</t>
  </si>
  <si>
    <t>Manutenção</t>
  </si>
  <si>
    <t>Bíceps</t>
  </si>
  <si>
    <t>Tríceps</t>
  </si>
  <si>
    <t>Quadríceps</t>
  </si>
  <si>
    <t>Prioritário</t>
  </si>
  <si>
    <t>Posterior/Glúteo</t>
  </si>
  <si>
    <t>Panturrilha</t>
  </si>
  <si>
    <t>Abdômen</t>
  </si>
  <si>
    <t>VOLUME SEMANAL DE SÉRIES POR GRUPO MUSCULAR</t>
  </si>
  <si>
    <t>Segunda</t>
  </si>
  <si>
    <t>Terça</t>
  </si>
  <si>
    <t>Quinta</t>
  </si>
  <si>
    <t>Sexta</t>
  </si>
  <si>
    <t>Total/Semana</t>
  </si>
  <si>
    <t>TOTAL GERAL</t>
  </si>
  <si>
    <t>SEGUNDA — SUPERIOR A — Ênfase Peito</t>
  </si>
  <si>
    <t>🟡 Preencha a coluna "Carga (kg)" a cada treino para acompanhar sua evolução.</t>
  </si>
  <si>
    <t>Nº</t>
  </si>
  <si>
    <t>Exercício</t>
  </si>
  <si>
    <t>Séries</t>
  </si>
  <si>
    <t>Repetições</t>
  </si>
  <si>
    <t>Descanso</t>
  </si>
  <si>
    <t>Carga (kg)</t>
  </si>
  <si>
    <t>Observações Técnicas</t>
  </si>
  <si>
    <t>Crucifixo na máquina</t>
  </si>
  <si>
    <t>8-10</t>
  </si>
  <si>
    <t>90s</t>
  </si>
  <si>
    <t>Volta controlada (3s). 1ª série: execução lenta para conexão muscular - 15 repetições, restante das séries seguir Coluna E. Manter braços semi flexionados. Peito estufado. Lombar levemente arqueada e sem encostar no banco. Segurar 1s na contração máxima, sem bater os punhos um no outro.</t>
  </si>
  <si>
    <t>Supino inclinado na máquina</t>
  </si>
  <si>
    <t>10-12</t>
  </si>
  <si>
    <t xml:space="preserve">Descida controlada (3s). Cotovelos a ~45° do tronco. Última série: drop set. Peito estufado, escápulas retraídas contra o encosto. Não travar o cotovelo no topo do movimento. </t>
  </si>
  <si>
    <t>Remada baixa no cabo (pegada aberta)</t>
  </si>
  <si>
    <t>Tronco estável, sem usar impulso para puxar o peso. Cotovelos abrindo para fora, levando o peso até o abdômen. Segurar 1s na contração final, escápulas se aproximando.</t>
  </si>
  <si>
    <t>Puxada frente (pegada neutra aberta)</t>
  </si>
  <si>
    <t>Puxar levando os cotovelos para baixo e levemente para trás, sem balançar o tronco. Leve arqueamento da lombar, peito na direção da barra.</t>
  </si>
  <si>
    <t>Desenvolvimento máquina</t>
  </si>
  <si>
    <t>75s</t>
  </si>
  <si>
    <t>Não travar o cotovelo no topo, controlar a descida. (2s)</t>
  </si>
  <si>
    <t>Elevação lateral com halteres</t>
  </si>
  <si>
    <t>15</t>
  </si>
  <si>
    <t>60s</t>
  </si>
  <si>
    <t>Subida controlada, sem embalo. Cotovelos levemente flexionados, subir até a linha do ombro. Leve inclinação de tronco à frente para tirar o trapézio do movimento.</t>
  </si>
  <si>
    <t>Tríceps corda na polia</t>
  </si>
  <si>
    <t>12-15</t>
  </si>
  <si>
    <t>Cotovelos fixos ao lado do corpo durante toda a execução. Abrir levemente a corda no fim do movimento</t>
  </si>
  <si>
    <t>Rosca alternada com halteres</t>
  </si>
  <si>
    <t>12</t>
  </si>
  <si>
    <t>Supinar o antebraço durante a subida (girar a palma para cima). Cotovelo fixo ao lado do corpo, sem balançar o tronco. Movimento controlado - descida 3s.</t>
  </si>
  <si>
    <t>Abdômen na máquina</t>
  </si>
  <si>
    <t>45s</t>
  </si>
  <si>
    <t>Contração focada, sem tirar o quadril do banco.</t>
  </si>
  <si>
    <t>TERÇA — INFERIOR A — Ênfase Quadríceps</t>
  </si>
  <si>
    <t>Cadeira extensora</t>
  </si>
  <si>
    <t>Descida controlada (3s). 1ª série: execução lenta para conexão muscular - 15 repetições, restante das séries seguir Coluna E. Segurar 2s no topo com contração máxima do quadríceps. Última série: drop set. Manter a lombar apoiada no encosto, sem compensar com o quadril.</t>
  </si>
  <si>
    <t>Leg press 45°</t>
  </si>
  <si>
    <t>120s</t>
  </si>
  <si>
    <t>Movimento controlado na descida, sem soltar o peso. Descer até ~90° de joelho (dentro do confortável), sem tirar a lombar do banco. Empurrar sem travar o joelho no topo. Aumentar a carga a cada série - aqui vamos fazer força.</t>
  </si>
  <si>
    <t>Hack machine (ou agachamento no Smith)</t>
  </si>
  <si>
    <t>10</t>
  </si>
  <si>
    <t>Descida controlada, pés na largura dos ombros e levemente à frente do quadril. Joelhos alinhados com a ponta dos pés, evitando que caiam para dentro. Tronco estável durante todo o movimento, sem inclinar para frente.</t>
  </si>
  <si>
    <t>Mesa flexora (ou cadeira flexora)</t>
  </si>
  <si>
    <t>Movimento controlado, sem usar impulso do quadril para puxar o peso. Segurar 1s no pico de contração, sentindo o posterior de coxa trabalhar. Evitar arquear a lombar durante a execução.</t>
  </si>
  <si>
    <t>Cadeira abdutora</t>
  </si>
  <si>
    <t>15-20</t>
  </si>
  <si>
    <t>Movimento controlado nas duas fases (ida e volta), sem usar embalo. Amplitude completa, buscando sentir o glúteo médio contraindo na abertura.  Tronco encostado no banco durante toda a série. Aumentar carga a cada serie.</t>
  </si>
  <si>
    <t>Cadeira adutora</t>
  </si>
  <si>
    <t>Movimento controlado, fechando as pernas contra a resistência sem usar impulso. Segurar 1s na contração final. Adutores são importantes na estabilização do joelho durante agachamento e leg press, então vale a pena sentir bem a contração aqui.</t>
  </si>
  <si>
    <t>Panturrilha em pé</t>
  </si>
  <si>
    <t>Movimento controlado, amplitude total: alongar bem embaixo e contrair firme em cima, segurando 1s na contração máxima. Evitar "quicar" no final da descida pra não perder tensão no músculo.</t>
  </si>
  <si>
    <t>QUINTA — SUPERIOR B — Ênfase Costas</t>
  </si>
  <si>
    <t>Barra fixa assistida (pegada pronada aberta)</t>
  </si>
  <si>
    <t>Descida controlada (3s). 1ª série: execução lenta para conexão muscular - 15 repetições (com mais assistência), restante das séries seguir Coluna E, ajustando a menor assistência que permitir completar as reps com boa execução. Cotovelos indo para baixo e para trás. Última série: descansar 15s e repetir até a falha (rest-pause).</t>
  </si>
  <si>
    <t>Remada máquina (pegada aberta)</t>
  </si>
  <si>
    <t>Movimento controlado, sem usar impulso do tronco para puxar o peso. Cotovelos abrindo para os lados, levando os punhos em direção às costelas. Segurar 1s com as escápulas se aproximando no final do movimento.</t>
  </si>
  <si>
    <t>Crucifixo na máquina (peck deck)</t>
  </si>
  <si>
    <t>Movimento controlado em arco, sem travar os cotovelos no início. Peito estufado, buscando "abraçar" a máquina na volta. Última série: drop set, reduzindo a carga e continuando até a falha.</t>
  </si>
  <si>
    <t>Supino máquina declinado</t>
  </si>
  <si>
    <t>Empurrar em trajetória diagonal para baixo, controlando a descida (3s). Foco na contração da porção inferior do peitoral no pico do movimento, sem travar o cotovelo.</t>
  </si>
  <si>
    <t>Elevação lateral na polia</t>
  </si>
  <si>
    <t>Movimento controlado. Cotovelo levemente flexionado, subir até a linha do ombro. Corpo levemente inclinado para o lado contrário à polia, ajuda a manter a tensão certa no deltoide lateral.</t>
  </si>
  <si>
    <t>Crucifixo inverso (peck deck invertido ou halteres com tronco inclinado)</t>
  </si>
  <si>
    <t>Cotovelos levemente flexionados, puxar os braços para trás em arco, sem usar impulso do tronco. Foco na contração do deltoide posterior, evitando "subir" o ombro (isso rouba o trabalho pro trapézio).</t>
  </si>
  <si>
    <t>Rosca 21 (barra W)</t>
  </si>
  <si>
    <t>21 (7+7+7)</t>
  </si>
  <si>
    <t>Técnica de série 21: primeiras 7 repetições na metade inferior do movimento (da extensão total até 90°), próximas 7 na metade superior (de 90° até a flexão total), últimas 7 no movimento completo. Cotovelos fixos ao lado do corpo durante toda a série, sem balançar o tronco. Gera bastante acúmulo metabólico — é normal a carga precisar ser mais leve que numa rosca tradicional.</t>
  </si>
  <si>
    <t>Tríceps testa corda na polia</t>
  </si>
  <si>
    <t>Preso à polia alta com a corda, cotovelos fixos ao lado da cabeça durante toda a execução. Descer a corda controladamente atrás da cabeça até sentir alongar o tríceps, sem abrir os cotovelos para os lados. Na subida, abrir levemente as pontas da corda no fim do movimento, buscando a contração máxima.</t>
  </si>
  <si>
    <t>Abdômen infra (elevação de pernas)</t>
  </si>
  <si>
    <t>Movimento controlado, sem usar embalo nem impulso do quadril. Levar a bacia em direção às costelas no topo do movimento (não só levantar as pernas). Descer as pernas sem deixar a lombar arquear.</t>
  </si>
  <si>
    <t>SEXTA — INFERIOR B — Ênfase Posterior/Glúteo</t>
  </si>
  <si>
    <t>Cadeira flexora</t>
  </si>
  <si>
    <t>Descida controlada (3s). 1ª série: execução lenta para conexão muscular - 15 repetições, restante das séries seguir Coluna E. Segurar 1s no pico de contração, sentindo bem o posterior de coxa trabalhar. Evitar arquear a lombar durante a execução. Última série: drop set.</t>
  </si>
  <si>
    <t>Stiff com halteres (ou barra)</t>
  </si>
  <si>
    <t>Movimento controlado, joelhos levemente flexionados (não esticados), quadril indo levemente para trás quando desce. Halteres/barra deslizando próximos às pernas. Descer até sentir alongar o posterior de coxa, manter a lombar neutra.</t>
  </si>
  <si>
    <t>Elevação pélvica (hip thrust)</t>
  </si>
  <si>
    <t>Movimento controlado, sem usar impulso das pernas para subir rápido demais. Segurar 2s no topo, contraindo bem o glúteo, queixo neutro (sem jogar a cabeça para trás). Descer sem deixar o quadril bater no chão/banco, mantendo tensão constante no glúteo.</t>
  </si>
  <si>
    <t>Afundo ou passada</t>
  </si>
  <si>
    <t>10 (cada perna)</t>
  </si>
  <si>
    <t>Passo controlado na descida, joelho da frente alinhado com o pé (sem passar muito à frente da ponta do pé). Tronco ereto, leve inclinação à frente é normal. Descer até o joelho de trás quase tocar o chão, sem perder o equilíbrio</t>
  </si>
  <si>
    <t>Panturrilha sentado</t>
  </si>
  <si>
    <t>Movimento controlado, amplitude total: alongar bem embaixo e contrair firme em cima, segurando 1s na contração máxima. Foco no sóleo (por isso sentado, com o joelho flexionado) — evitar "quicar" no final da descida para não perder tensão.</t>
  </si>
  <si>
    <t>Prancha isométrica</t>
  </si>
  <si>
    <t>40-60s</t>
  </si>
  <si>
    <t>Corpo alinhado da cabeça aos calcanhares, sem deixar o quadril cair nem subir demais. Cotovelos alinhados abaixo dos ombros. Respiração controlada durante o tempo todo — não prender a respiração. Contrair abdômen e glúteo simultaneamente para manter a postura.</t>
  </si>
  <si>
    <t>REGISTRO DE PROGRESSÃO DE CARGA</t>
  </si>
  <si>
    <t>🟡 Preencha semanalmente com a carga utilizada nos exercícios-chave para acompanhar a evolução ao longo do tempo.</t>
  </si>
  <si>
    <t>Semana</t>
  </si>
  <si>
    <t>Leg Press 45° (kg)</t>
  </si>
  <si>
    <t>Supino máquina (kg)</t>
  </si>
  <si>
    <t>Puxada Frente (kg)</t>
  </si>
  <si>
    <t>Stiff (kg)</t>
  </si>
  <si>
    <t>Observações</t>
  </si>
  <si>
    <t>Exemplo</t>
  </si>
  <si>
    <t>Linha de exemplo — não editar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</si>
  <si>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</si>
  <si>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</si>
  <si>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</si>
  <si>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</si>
  <si>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</si>
  <si>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</si>
  <si>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</si>
  <si>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</si>
  <si>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</si>
  <si>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</si>
  <si>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</si>
  <si>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</si>
  <si>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HÁBITOS E RECOMENDAÇÕES DE ESTILO DE VIDA</t>
  </si>
  <si>
    <t>Esses hábitos também impactam seus resultados, além do treino em si.</t>
  </si>
  <si>
    <t>Item</t>
  </si>
  <si>
    <t>Meta / Orientação</t>
  </si>
  <si>
    <t>Hidratação</t>
  </si>
  <si>
    <t>Baseado em ~35ml/kg. Importante.</t>
  </si>
  <si>
    <t>Sono</t>
  </si>
  <si>
    <t>Tentar 7 horas no mínimo/noite</t>
  </si>
  <si>
    <t>Você está dormindo 5-6h — isso prejudica recuperação, saciedade e adesão ao treino, então é prioridade ajustar aos poucos.</t>
  </si>
  <si>
    <t>Cardio (escada)</t>
  </si>
  <si>
    <t>Álcool</t>
  </si>
  <si>
    <t>Manter (já não consome)</t>
  </si>
  <si>
    <t>Estresse</t>
  </si>
  <si>
    <t>Ficar de olho ao longo do processo</t>
  </si>
  <si>
    <t>Seu nível de estresse hoje é moderado — vamos acompanhar se isso muda com a rotina de trabalho e sono, já que pode afetar recuperação e adesão ao treino.</t>
  </si>
  <si>
    <t>Consistência/disciplina</t>
  </si>
  <si>
    <t>Reforçar com metas semanais pequenas</t>
  </si>
  <si>
    <t>Você comentou que a disciplina costuma oscilar um pouco — vamos quebrar em metas semanais pequenas e usar check-ins regulares pra manter o ritmo.</t>
  </si>
  <si>
    <t>Acompanhamento hormonal</t>
  </si>
  <si>
    <t>Manter acompanhamento em dia</t>
  </si>
  <si>
    <t>Nutrição</t>
  </si>
  <si>
    <t>REGRAS GERAIS, DIRETRIZES E DISCLAIMER</t>
  </si>
  <si>
    <t>Regras Gerais de Execução</t>
  </si>
  <si>
    <t>• Priorize sempre a execução correta dos exercícios, mesmo que isso signifique usar menos carga.</t>
  </si>
  <si>
    <t>• Controle sempre a descida do movimento (2-3 segundos).</t>
  </si>
  <si>
    <t>• Na 1ª série de cada exercício, faça subida e descida mais lentas para melhorar a conexão mente-músculo.</t>
  </si>
  <si>
    <t>• Descanse entre 60 e 90 segundos entre séries (ou conforme indicado em cada exercício).</t>
  </si>
  <si>
    <t>• Ao atingir o topo da faixa de repetições, aumente levemente a carga no próximo treino.</t>
  </si>
  <si>
    <t>• Em exercícios seguros de máquina, ao chegar à falha, faça algumas repetições parciais.</t>
  </si>
  <si>
    <t>Recomposição Corporal — Como Pensar Sobre o Processo</t>
  </si>
  <si>
    <t>• O objetivo não é emagrecer a qualquer custo — é reduzir gordura corporal preservando e ganhando massa muscular, especialmente em peito, costas e perna.</t>
  </si>
  <si>
    <t>• Isso exige déficit calórico moderado (não agressivo), ingestão adequada de proteína e treino consistente — velocidade de resultado será mais lenta que um emagrecimento puro, mas o resultado estético final é muito superior.</t>
  </si>
  <si>
    <t>• Resultados visuais consistentes costumam aparecer a partir do 3º mês, com mudanças mais estruturais ao longo de 6-12 meses.</t>
  </si>
  <si>
    <t xml:space="preserve">Contexto de Saúde </t>
  </si>
  <si>
    <t>• Você não relatou lesões, dores ou restrições, e já tem liberação médica para treino de força — vamos priorizar exercícios com bom controle de impacto articular considerando seu peso atual.</t>
  </si>
  <si>
    <t>• Você já faz uso de Deposteron (testosterona) para baixa T com acompanhamento endocrinológico — mantenha os exames periódicos em dia, independente do treino.</t>
  </si>
  <si>
    <t>• Evite continuar um exercício que gere dor articular — qualquer desconforto novo, me avisa na hora pra a gente ajustar.</t>
  </si>
  <si>
    <t>Disclaimer</t>
  </si>
  <si>
    <t>Este material foi elaborado com finalidade educativa e de orientação geral sobre treinamento físico. As recomendações aqui apresentadas são baseadas em princípios amplamente utilizados no treinamento de musculação, porém não substituem a avaliação, prescrição ou acompanhamento de profissionais habilitados, como médico, endocrinologista ou nutricionista.</t>
  </si>
  <si>
    <t>Você é responsável por respeitar seus próprios limites físicos durante a execução dos exercícios. Caso sinta qualquer dor, desconforto ou sintoma incomum durante os treinos, interrompa a atividade e procure um profissional de saúde.</t>
  </si>
  <si>
    <t>Os resultados podem variar de pessoa para pessoa e dependem de diversos fatores, incluindo consistência no treinamento, alimentação, sono, condições hormonais e de saúde individuais. Ao seguir as orientações deste material, você declara estar ciente dessas condições e assume responsabilidade pela prática das atividades propostas.</t>
  </si>
  <si>
    <t>• Treinar próximo da falha.</t>
  </si>
  <si>
    <t>• Vamos priorizar exercícios com bom controle de impacto articular.</t>
  </si>
  <si>
    <t>• Recomposição corporal exige déficit calórico moderado + proteína adequada + treino consistente — sem emagrecer a qualquer custo, e sim preservando (e ganhando) massa muscular.</t>
  </si>
  <si>
    <t>. Testosterona livre no último exame: 1,438 ng/dL.</t>
  </si>
  <si>
    <t>Manter equilíbrio, priorizar uma alimentaçao balanceada</t>
  </si>
  <si>
    <t>Você ainda não tem acompanhamento nutricional — vale muito considerar, também estou disposto a ajudar com isso se for o caso.</t>
  </si>
  <si>
    <r>
      <t xml:space="preserve">• As repetições indicadas são uma referência — </t>
    </r>
    <r>
      <rPr>
        <b/>
        <sz val="10"/>
        <rFont val="Arial"/>
        <family val="2"/>
      </rPr>
      <t>use uma carga que te leve próximo da falha dentro da faixa estipulada.</t>
    </r>
  </si>
  <si>
    <t xml:space="preserve">4x por semana, 30 min por sessão </t>
  </si>
  <si>
    <t>Meta inicial realista — durante os dias de treino.</t>
  </si>
  <si>
    <t>• Cardio combinado: escada, 4x por semana, 30 minutos por sessão, com boa intensidade, ajustar a velocidade para não ficar fácil — baixo impacto e alinhado ao seu momento atual. Detalhes na aba Hábitos e Recomendações.</t>
  </si>
  <si>
    <t>Séries efetivas por grupo muscular em cada dia de treino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</si>
</sst>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1B4F72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1B4F72"/>
      <name val="Arial"/>
      <charset val="1"/>
    </font>
    <font>
      <sz val="10"/>
      <name val="Arial"/>
      <charset val="1"/>
    </font>
    <font>
      <b/>
      <sz val="10"/>
      <color rgb="FF007A3D"/>
      <name val="Arial"/>
      <charset val="1"/>
    </font>
    <font>
      <b/>
      <sz val="13"/>
      <color rgb="FFFFFFFF"/>
      <name val="Arial"/>
      <charset val="1"/>
    </font>
    <font>
      <i/>
      <sz val="10"/>
      <color rgb="FF555555"/>
      <name val="Arial"/>
      <charset val="1"/>
    </font>
    <font>
      <sz val="10"/>
      <color rgb="FF007A3D"/>
      <name val="Arial"/>
      <charset val="1"/>
    </font>
    <font>
      <i/>
      <sz val="10"/>
      <color rgb="FF000000"/>
      <name val="Arial"/>
      <charset val="1"/>
    </font>
    <font>
      <i/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9"/>
      <color rgb="FF555555"/>
      <name val="Arial"/>
      <charset val="1"/>
    </font>
    <font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2"/>
      <color rgb="FF1B4F72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i/>
      <sz val="9"/>
      <color rgb="FF555555"/>
      <name val="Arial"/>
      <family val="2"/>
    </font>
    <font>
      <sz val="10"/>
      <color rgb="FF000000"/>
      <name val="Arial"/>
      <family val="2"/>
    </font>
    <font>
      <i/>
      <sz val="9"/>
      <color rgb="FF000000"/>
      <name val="Arial"/>
      <family val="2"/>
    </font>
    <font>
      <i/>
      <sz val="10"/>
      <color rgb="FF555555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59D"/>
      </patternFill>
    </fill>
    <fill>
      <patternFill patternType="solid">
        <fgColor rgb="FFBDD7EE"/>
        <bgColor rgb="FFD9D9D9"/>
      </patternFill>
    </fill>
    <fill>
      <patternFill patternType="solid">
        <fgColor rgb="FFD9C3E6"/>
        <bgColor rgb="FFD9D9D9"/>
      </patternFill>
    </fill>
    <fill>
      <patternFill patternType="solid">
        <fgColor rgb="FFF4B183"/>
        <bgColor rgb="FFD9B0B0"/>
      </patternFill>
    </fill>
    <fill>
      <patternFill patternType="solid">
        <fgColor rgb="FFA9D18E"/>
        <bgColor rgb="FFC6E0B4"/>
      </patternFill>
    </fill>
    <fill>
      <patternFill patternType="solid">
        <fgColor rgb="FFD9D9D9"/>
        <bgColor rgb="FFD9E6F2"/>
      </patternFill>
    </fill>
    <fill>
      <patternFill patternType="solid">
        <fgColor rgb="FFFFF2CC"/>
        <bgColor rgb="FFF2F2F2"/>
      </patternFill>
    </fill>
    <fill>
      <patternFill patternType="solid">
        <fgColor rgb="FFD9E6F2"/>
        <bgColor rgb="FFD9D9D9"/>
      </patternFill>
    </fill>
    <fill>
      <patternFill patternType="solid">
        <fgColor rgb="FFFFF59D"/>
        <bgColor rgb="FFFFE699"/>
      </patternFill>
    </fill>
    <fill>
      <patternFill patternType="solid">
        <fgColor rgb="FFF2F2F2"/>
        <bgColor rgb="FFF9F9F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2" xfId="0" applyBorder="1"/>
    <xf numFmtId="0" fontId="1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 indent="1"/>
    </xf>
    <xf numFmtId="0" fontId="12" fillId="0" borderId="0" xfId="0" applyFont="1"/>
    <xf numFmtId="0" fontId="13" fillId="0" borderId="1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0" fillId="0" borderId="0" xfId="0" applyFont="1"/>
    <xf numFmtId="0" fontId="17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7A3D"/>
      <rgbColor rgb="FF000080"/>
      <rgbColor rgb="FF808000"/>
      <rgbColor rgb="FF800080"/>
      <rgbColor rgb="FF008080"/>
      <rgbColor rgb="FFBFBFBF"/>
      <rgbColor rgb="FF878787"/>
      <rgbColor rgb="FF9999FF"/>
      <rgbColor rgb="FF953B38"/>
      <rgbColor rgb="FFFFF2CC"/>
      <rgbColor rgb="FFD9E6F2"/>
      <rgbColor rgb="FF660066"/>
      <rgbColor rgb="FFC77978"/>
      <rgbColor rgb="FF0066CC"/>
      <rgbColor rgb="FFD9C3E6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F59D"/>
      <rgbColor rgb="FFBDD7EE"/>
      <rgbColor rgb="FFD9B0B0"/>
      <rgbColor rgb="FFD9D9D9"/>
      <rgbColor rgb="FFF8CBAD"/>
      <rgbColor rgb="FF4F81BD"/>
      <rgbColor rgb="FF33CCCC"/>
      <rgbColor rgb="FF9BBB59"/>
      <rgbColor rgb="FFFFCC00"/>
      <rgbColor rgb="FFF4B183"/>
      <rgbColor rgb="FFFF6600"/>
      <rgbColor rgb="FF8064A2"/>
      <rgbColor rgb="FFA9D18E"/>
      <rgbColor rgb="FF1B4F72"/>
      <rgbColor rgb="FF339966"/>
      <rgbColor rgb="FF003300"/>
      <rgbColor rgb="FF333300"/>
      <rgbColor rgb="FFC0504D"/>
      <rgbColor rgb="FFB24543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Séries Semanais Totais por Grupo Muscular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'Volume Semanal'!$F$4</c:f>
              <c:strCache>
                <c:ptCount val="1"/>
                <c:pt idx="0">
                  <c:v>Total/Semana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 Semanal'!$A$5:$A$13</c:f>
              <c:strCache>
                <c:ptCount val="9"/>
                <c:pt idx="0">
                  <c:v>Peito</c:v>
                </c:pt>
                <c:pt idx="1">
                  <c:v>Costas</c:v>
                </c:pt>
                <c:pt idx="2">
                  <c:v>Ombro</c:v>
                </c:pt>
                <c:pt idx="3">
                  <c:v>Bíceps</c:v>
                </c:pt>
                <c:pt idx="4">
                  <c:v>Tríceps</c:v>
                </c:pt>
                <c:pt idx="5">
                  <c:v>Quadríceps</c:v>
                </c:pt>
                <c:pt idx="6">
                  <c:v>Posterior/Glúteo</c:v>
                </c:pt>
                <c:pt idx="7">
                  <c:v>Panturrilha</c:v>
                </c:pt>
                <c:pt idx="8">
                  <c:v>Abdômen</c:v>
                </c:pt>
              </c:strCache>
            </c:strRef>
          </c:cat>
          <c:val>
            <c:numRef>
              <c:f>'Volume Semanal'!$F$5:$F$13</c:f>
              <c:numCache>
                <c:formatCode>General</c:formatCode>
                <c:ptCount val="9"/>
                <c:pt idx="0">
                  <c:v>13</c:v>
                </c:pt>
                <c:pt idx="1">
                  <c:v>14</c:v>
                </c:pt>
                <c:pt idx="2">
                  <c:v>12</c:v>
                </c:pt>
                <c:pt idx="3">
                  <c:v>6</c:v>
                </c:pt>
                <c:pt idx="4">
                  <c:v>6</c:v>
                </c:pt>
                <c:pt idx="5">
                  <c:v>14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4-42E7-991F-4CFCA4FEE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70130"/>
        <c:axId val="72200448"/>
      </c:barChart>
      <c:catAx>
        <c:axId val="151701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Grupo muscular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2200448"/>
        <c:crosses val="autoZero"/>
        <c:auto val="1"/>
        <c:lblAlgn val="ctr"/>
        <c:lblOffset val="100"/>
        <c:noMultiLvlLbl val="0"/>
      </c:catAx>
      <c:valAx>
        <c:axId val="72200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Nº de séries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51701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Distribuição de Séries por Dia da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'Volume Semanal'!$B$4</c:f>
              <c:strCache>
                <c:ptCount val="1"/>
                <c:pt idx="0">
                  <c:v>Segunda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 Semanal'!$A$5:$A$13</c:f>
              <c:strCache>
                <c:ptCount val="9"/>
                <c:pt idx="0">
                  <c:v>Peito</c:v>
                </c:pt>
                <c:pt idx="1">
                  <c:v>Costas</c:v>
                </c:pt>
                <c:pt idx="2">
                  <c:v>Ombro</c:v>
                </c:pt>
                <c:pt idx="3">
                  <c:v>Bíceps</c:v>
                </c:pt>
                <c:pt idx="4">
                  <c:v>Tríceps</c:v>
                </c:pt>
                <c:pt idx="5">
                  <c:v>Quadríceps</c:v>
                </c:pt>
                <c:pt idx="6">
                  <c:v>Posterior/Glúteo</c:v>
                </c:pt>
                <c:pt idx="7">
                  <c:v>Panturrilha</c:v>
                </c:pt>
                <c:pt idx="8">
                  <c:v>Abdômen</c:v>
                </c:pt>
              </c:strCache>
            </c:strRef>
          </c:cat>
          <c:val>
            <c:numRef>
              <c:f>'Volume Semanal'!$B$5:$B$13</c:f>
              <c:numCache>
                <c:formatCode>General</c:formatCode>
                <c:ptCount val="9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5-470C-A0C2-FA80663E1D60}"/>
            </c:ext>
          </c:extLst>
        </c:ser>
        <c:ser>
          <c:idx val="1"/>
          <c:order val="1"/>
          <c:tx>
            <c:strRef>
              <c:f>'Volume Semanal'!$C$4</c:f>
              <c:strCache>
                <c:ptCount val="1"/>
                <c:pt idx="0">
                  <c:v>Terça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 Semanal'!$A$5:$A$13</c:f>
              <c:strCache>
                <c:ptCount val="9"/>
                <c:pt idx="0">
                  <c:v>Peito</c:v>
                </c:pt>
                <c:pt idx="1">
                  <c:v>Costas</c:v>
                </c:pt>
                <c:pt idx="2">
                  <c:v>Ombro</c:v>
                </c:pt>
                <c:pt idx="3">
                  <c:v>Bíceps</c:v>
                </c:pt>
                <c:pt idx="4">
                  <c:v>Tríceps</c:v>
                </c:pt>
                <c:pt idx="5">
                  <c:v>Quadríceps</c:v>
                </c:pt>
                <c:pt idx="6">
                  <c:v>Posterior/Glúteo</c:v>
                </c:pt>
                <c:pt idx="7">
                  <c:v>Panturrilha</c:v>
                </c:pt>
                <c:pt idx="8">
                  <c:v>Abdômen</c:v>
                </c:pt>
              </c:strCache>
            </c:strRef>
          </c:cat>
          <c:val>
            <c:numRef>
              <c:f>'Volume Semanal'!$C$5:$C$13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9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15-470C-A0C2-FA80663E1D60}"/>
            </c:ext>
          </c:extLst>
        </c:ser>
        <c:ser>
          <c:idx val="2"/>
          <c:order val="2"/>
          <c:tx>
            <c:strRef>
              <c:f>'Volume Semanal'!$D$4</c:f>
              <c:strCache>
                <c:ptCount val="1"/>
                <c:pt idx="0">
                  <c:v>Quinta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 Semanal'!$A$5:$A$13</c:f>
              <c:strCache>
                <c:ptCount val="9"/>
                <c:pt idx="0">
                  <c:v>Peito</c:v>
                </c:pt>
                <c:pt idx="1">
                  <c:v>Costas</c:v>
                </c:pt>
                <c:pt idx="2">
                  <c:v>Ombro</c:v>
                </c:pt>
                <c:pt idx="3">
                  <c:v>Bíceps</c:v>
                </c:pt>
                <c:pt idx="4">
                  <c:v>Tríceps</c:v>
                </c:pt>
                <c:pt idx="5">
                  <c:v>Quadríceps</c:v>
                </c:pt>
                <c:pt idx="6">
                  <c:v>Posterior/Glúteo</c:v>
                </c:pt>
                <c:pt idx="7">
                  <c:v>Panturrilha</c:v>
                </c:pt>
                <c:pt idx="8">
                  <c:v>Abdômen</c:v>
                </c:pt>
              </c:strCache>
            </c:strRef>
          </c:cat>
          <c:val>
            <c:numRef>
              <c:f>'Volume Semanal'!$D$5:$D$13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15-470C-A0C2-FA80663E1D60}"/>
            </c:ext>
          </c:extLst>
        </c:ser>
        <c:ser>
          <c:idx val="3"/>
          <c:order val="3"/>
          <c:tx>
            <c:strRef>
              <c:f>'Volume Semanal'!$E$4</c:f>
              <c:strCache>
                <c:ptCount val="1"/>
                <c:pt idx="0">
                  <c:v>Sexta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 Semanal'!$A$5:$A$13</c:f>
              <c:strCache>
                <c:ptCount val="9"/>
                <c:pt idx="0">
                  <c:v>Peito</c:v>
                </c:pt>
                <c:pt idx="1">
                  <c:v>Costas</c:v>
                </c:pt>
                <c:pt idx="2">
                  <c:v>Ombro</c:v>
                </c:pt>
                <c:pt idx="3">
                  <c:v>Bíceps</c:v>
                </c:pt>
                <c:pt idx="4">
                  <c:v>Tríceps</c:v>
                </c:pt>
                <c:pt idx="5">
                  <c:v>Quadríceps</c:v>
                </c:pt>
                <c:pt idx="6">
                  <c:v>Posterior/Glúteo</c:v>
                </c:pt>
                <c:pt idx="7">
                  <c:v>Panturrilha</c:v>
                </c:pt>
                <c:pt idx="8">
                  <c:v>Abdômen</c:v>
                </c:pt>
              </c:strCache>
            </c:strRef>
          </c:cat>
          <c:val>
            <c:numRef>
              <c:f>'Volume Semanal'!$E$5:$E$13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11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15-470C-A0C2-FA80663E1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160205"/>
        <c:axId val="99352348"/>
      </c:barChart>
      <c:catAx>
        <c:axId val="931602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9352348"/>
        <c:crosses val="autoZero"/>
        <c:auto val="1"/>
        <c:lblAlgn val="ctr"/>
        <c:lblOffset val="100"/>
        <c:noMultiLvlLbl val="0"/>
      </c:catAx>
      <c:valAx>
        <c:axId val="99352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Nº de séries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31602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Progressão de Carga — Exercícios-Chave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'Progressão de Carga'!$B$4</c:f>
              <c:strCache>
                <c:ptCount val="1"/>
                <c:pt idx="0">
                  <c:v>Leg Press 45° (kg)</c:v>
                </c:pt>
              </c:strCache>
            </c:strRef>
          </c:tx>
          <c:spPr>
            <a:ln w="4752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'Progressão de Carga'!$A$6:$A$17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'Progressão de Carga'!$B$5:$B$17</c:f>
              <c:numCache>
                <c:formatCode>General</c:formatCode>
                <c:ptCount val="13"/>
                <c:pt idx="0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EA-487C-AADD-CB3D3FA9D997}"/>
            </c:ext>
          </c:extLst>
        </c:ser>
        <c:ser>
          <c:idx val="1"/>
          <c:order val="1"/>
          <c:tx>
            <c:strRef>
              <c:f>'Progressão de Carga'!$C$4</c:f>
              <c:strCache>
                <c:ptCount val="1"/>
                <c:pt idx="0">
                  <c:v>Supino máquina (kg)</c:v>
                </c:pt>
              </c:strCache>
            </c:strRef>
          </c:tx>
          <c:spPr>
            <a:ln w="4752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'Progressão de Carga'!$A$6:$A$17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'Progressão de Carga'!$C$5:$C$17</c:f>
              <c:numCache>
                <c:formatCode>General</c:formatCode>
                <c:ptCount val="13"/>
                <c:pt idx="0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EA-487C-AADD-CB3D3FA9D997}"/>
            </c:ext>
          </c:extLst>
        </c:ser>
        <c:ser>
          <c:idx val="2"/>
          <c:order val="2"/>
          <c:tx>
            <c:strRef>
              <c:f>'Progressão de Carga'!$D$4</c:f>
              <c:strCache>
                <c:ptCount val="1"/>
                <c:pt idx="0">
                  <c:v>Puxada Frente (kg)</c:v>
                </c:pt>
              </c:strCache>
            </c:strRef>
          </c:tx>
          <c:spPr>
            <a:ln w="4752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'Progressão de Carga'!$A$6:$A$17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'Progressão de Carga'!$D$5:$D$17</c:f>
              <c:numCache>
                <c:formatCode>General</c:formatCode>
                <c:ptCount val="13"/>
                <c:pt idx="0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8EA-487C-AADD-CB3D3FA9D997}"/>
            </c:ext>
          </c:extLst>
        </c:ser>
        <c:ser>
          <c:idx val="3"/>
          <c:order val="3"/>
          <c:tx>
            <c:strRef>
              <c:f>'Progressão de Carga'!$E$4</c:f>
              <c:strCache>
                <c:ptCount val="1"/>
                <c:pt idx="0">
                  <c:v>Stiff (kg)</c:v>
                </c:pt>
              </c:strCache>
            </c:strRef>
          </c:tx>
          <c:spPr>
            <a:ln w="4752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'Progressão de Carga'!$A$6:$A$17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'Progressão de Carga'!$E$5:$E$17</c:f>
              <c:numCache>
                <c:formatCode>General</c:formatCode>
                <c:ptCount val="13"/>
                <c:pt idx="0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8EA-487C-AADD-CB3D3FA9D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934131"/>
        <c:axId val="35995838"/>
      </c:lineChart>
      <c:catAx>
        <c:axId val="809341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5995838"/>
        <c:crosses val="autoZero"/>
        <c:auto val="1"/>
        <c:lblAlgn val="ctr"/>
        <c:lblOffset val="100"/>
        <c:noMultiLvlLbl val="0"/>
      </c:catAx>
      <c:valAx>
        <c:axId val="35995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Carga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09341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7</xdr:col>
      <xdr:colOff>228600</xdr:colOff>
      <xdr:row>33</xdr:row>
      <xdr:rowOff>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228600</xdr:colOff>
      <xdr:row>51</xdr:row>
      <xdr:rowOff>181080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5</xdr:col>
      <xdr:colOff>1278000</xdr:colOff>
      <xdr:row>37</xdr:row>
      <xdr:rowOff>169920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  <pageSetUpPr fitToPage="1"/>
  </sheetPr>
  <dimension ref="A1:C36"/>
  <sheetViews>
    <sheetView showGridLines="0" tabSelected="1" zoomScale="90" zoomScaleNormal="90" workbookViewId="0">
      <selection activeCell="G12" sqref="G12"/>
    </sheetView>
  </sheetViews>
  <sheetFormatPr defaultColWidth="8.6640625" defaultRowHeight="14.4" x14ac:dyDescent="0.3"/>
  <cols>
    <col min="1" max="1" width="26" customWidth="1"/>
    <col min="2" max="2" width="20" customWidth="1"/>
    <col min="3" max="3" width="75.88671875" bestFit="1" customWidth="1"/>
  </cols>
  <sheetData>
    <row r="1" spans="1:3" ht="25.5" customHeight="1" x14ac:dyDescent="0.3">
      <c r="A1" s="3" t="s">
        <v>0</v>
      </c>
      <c r="B1" s="3"/>
      <c r="C1" s="3"/>
    </row>
    <row r="2" spans="1:3" ht="14.25" customHeight="1" x14ac:dyDescent="0.3">
      <c r="A2" s="6" t="s">
        <v>1</v>
      </c>
    </row>
    <row r="4" spans="1:3" ht="31.5" customHeight="1" x14ac:dyDescent="0.3">
      <c r="A4" s="7" t="s">
        <v>2</v>
      </c>
      <c r="B4" s="7" t="s">
        <v>3</v>
      </c>
      <c r="C4" s="7" t="s">
        <v>4</v>
      </c>
    </row>
    <row r="5" spans="1:3" ht="14.25" customHeight="1" x14ac:dyDescent="0.3">
      <c r="A5" s="8" t="s">
        <v>5</v>
      </c>
      <c r="B5" s="9">
        <v>122</v>
      </c>
      <c r="C5" s="10"/>
    </row>
    <row r="6" spans="1:3" ht="14.25" customHeight="1" x14ac:dyDescent="0.3">
      <c r="A6" s="8" t="s">
        <v>6</v>
      </c>
      <c r="B6" s="11">
        <v>1.73</v>
      </c>
      <c r="C6" s="10"/>
    </row>
    <row r="7" spans="1:3" ht="14.25" customHeight="1" x14ac:dyDescent="0.3">
      <c r="A7" s="8" t="s">
        <v>7</v>
      </c>
      <c r="B7" s="12">
        <f>B5/(B6^2)</f>
        <v>40.763139429984292</v>
      </c>
      <c r="C7" s="10" t="s">
        <v>8</v>
      </c>
    </row>
    <row r="8" spans="1:3" ht="14.25" customHeight="1" x14ac:dyDescent="0.3">
      <c r="A8" s="8" t="s">
        <v>9</v>
      </c>
      <c r="B8" s="12">
        <f>B5*0.035</f>
        <v>4.2700000000000005</v>
      </c>
      <c r="C8" s="10" t="s">
        <v>10</v>
      </c>
    </row>
    <row r="9" spans="1:3" ht="14.25" customHeight="1" x14ac:dyDescent="0.3">
      <c r="A9" s="8" t="s">
        <v>11</v>
      </c>
      <c r="B9" s="9">
        <v>4</v>
      </c>
      <c r="C9" s="10" t="s">
        <v>12</v>
      </c>
    </row>
    <row r="10" spans="1:3" ht="14.25" customHeight="1" x14ac:dyDescent="0.3">
      <c r="A10" s="8" t="s">
        <v>13</v>
      </c>
      <c r="B10" s="9" t="s">
        <v>14</v>
      </c>
      <c r="C10" s="10" t="s">
        <v>15</v>
      </c>
    </row>
    <row r="11" spans="1:3" ht="14.25" customHeight="1" x14ac:dyDescent="0.3">
      <c r="A11" s="8" t="s">
        <v>16</v>
      </c>
      <c r="B11" s="9" t="s">
        <v>17</v>
      </c>
      <c r="C11" s="10" t="s">
        <v>18</v>
      </c>
    </row>
    <row r="12" spans="1:3" ht="14.25" customHeight="1" x14ac:dyDescent="0.3">
      <c r="A12" s="8" t="s">
        <v>19</v>
      </c>
      <c r="B12" s="9" t="s">
        <v>20</v>
      </c>
      <c r="C12" s="10" t="s">
        <v>21</v>
      </c>
    </row>
    <row r="14" spans="1:3" ht="15" customHeight="1" x14ac:dyDescent="0.3">
      <c r="A14" s="13" t="s">
        <v>22</v>
      </c>
    </row>
    <row r="15" spans="1:3" ht="27.75" customHeight="1" x14ac:dyDescent="0.3">
      <c r="A15" s="59" t="s">
        <v>198</v>
      </c>
      <c r="B15" s="59"/>
      <c r="C15" s="59"/>
    </row>
    <row r="16" spans="1:3" ht="27.75" customHeight="1" x14ac:dyDescent="0.3">
      <c r="A16" s="2" t="s">
        <v>23</v>
      </c>
      <c r="B16" s="2"/>
      <c r="C16" s="2"/>
    </row>
    <row r="17" spans="1:3" ht="27.75" customHeight="1" x14ac:dyDescent="0.3">
      <c r="A17" s="2" t="s">
        <v>24</v>
      </c>
      <c r="B17" s="2"/>
      <c r="C17" s="2"/>
    </row>
    <row r="18" spans="1:3" ht="27.75" customHeight="1" x14ac:dyDescent="0.3">
      <c r="A18" s="59" t="s">
        <v>25</v>
      </c>
      <c r="B18" s="59"/>
      <c r="C18" s="59"/>
    </row>
    <row r="19" spans="1:3" ht="27.75" customHeight="1" x14ac:dyDescent="0.3">
      <c r="A19" s="60" t="s">
        <v>199</v>
      </c>
      <c r="B19" s="2"/>
      <c r="C19" s="2"/>
    </row>
    <row r="20" spans="1:3" ht="27.75" customHeight="1" x14ac:dyDescent="0.3">
      <c r="A20" s="60" t="s">
        <v>200</v>
      </c>
      <c r="B20" s="2"/>
      <c r="C20" s="2"/>
    </row>
    <row r="22" spans="1:3" ht="15" customHeight="1" x14ac:dyDescent="0.3">
      <c r="A22" s="13" t="s">
        <v>26</v>
      </c>
    </row>
    <row r="23" spans="1:3" ht="25.5" customHeight="1" x14ac:dyDescent="0.3">
      <c r="A23" s="1" t="s">
        <v>27</v>
      </c>
      <c r="B23" s="1"/>
      <c r="C23" s="1"/>
    </row>
    <row r="24" spans="1:3" ht="25.5" customHeight="1" x14ac:dyDescent="0.3">
      <c r="A24" s="68" t="s">
        <v>28</v>
      </c>
      <c r="B24" s="17">
        <f>'Volume Semanal'!F5</f>
        <v>13</v>
      </c>
      <c r="C24" s="18" t="s">
        <v>35</v>
      </c>
    </row>
    <row r="25" spans="1:3" ht="25.5" customHeight="1" x14ac:dyDescent="0.3">
      <c r="A25" s="67" t="s">
        <v>29</v>
      </c>
      <c r="B25" s="17">
        <f>'Volume Semanal'!F6</f>
        <v>14</v>
      </c>
      <c r="C25" s="18" t="s">
        <v>35</v>
      </c>
    </row>
    <row r="26" spans="1:3" ht="15" customHeight="1" x14ac:dyDescent="0.3">
      <c r="A26" s="16" t="s">
        <v>30</v>
      </c>
      <c r="B26" s="17">
        <f>'Volume Semanal'!F7</f>
        <v>12</v>
      </c>
      <c r="C26" s="18" t="s">
        <v>31</v>
      </c>
    </row>
    <row r="27" spans="1:3" ht="14.25" customHeight="1" x14ac:dyDescent="0.3">
      <c r="A27" s="19" t="s">
        <v>32</v>
      </c>
      <c r="B27" s="17">
        <f>'Volume Semanal'!F8</f>
        <v>6</v>
      </c>
      <c r="C27" s="18" t="s">
        <v>31</v>
      </c>
    </row>
    <row r="28" spans="1:3" ht="15" customHeight="1" x14ac:dyDescent="0.3">
      <c r="A28" s="20" t="s">
        <v>33</v>
      </c>
      <c r="B28" s="17">
        <f>'Volume Semanal'!F9</f>
        <v>6</v>
      </c>
      <c r="C28" s="18" t="s">
        <v>31</v>
      </c>
    </row>
    <row r="29" spans="1:3" ht="31.5" customHeight="1" x14ac:dyDescent="0.3">
      <c r="A29" s="21" t="s">
        <v>34</v>
      </c>
      <c r="B29" s="17">
        <f>'Volume Semanal'!F10</f>
        <v>14</v>
      </c>
      <c r="C29" s="18" t="s">
        <v>35</v>
      </c>
    </row>
    <row r="30" spans="1:3" ht="14.25" customHeight="1" x14ac:dyDescent="0.3">
      <c r="A30" s="22" t="s">
        <v>36</v>
      </c>
      <c r="B30" s="17">
        <f>'Volume Semanal'!F11</f>
        <v>20</v>
      </c>
      <c r="C30" s="18" t="s">
        <v>35</v>
      </c>
    </row>
    <row r="31" spans="1:3" ht="14.25" customHeight="1" x14ac:dyDescent="0.3">
      <c r="A31" s="23" t="s">
        <v>37</v>
      </c>
      <c r="B31" s="17">
        <f>'Volume Semanal'!F12</f>
        <v>8</v>
      </c>
      <c r="C31" s="18" t="s">
        <v>31</v>
      </c>
    </row>
    <row r="32" spans="1:3" ht="14.25" customHeight="1" x14ac:dyDescent="0.3">
      <c r="A32" s="24" t="s">
        <v>38</v>
      </c>
      <c r="B32" s="17">
        <f>'Volume Semanal'!F13</f>
        <v>10</v>
      </c>
      <c r="C32" s="18" t="s">
        <v>31</v>
      </c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</sheetData>
  <mergeCells count="8">
    <mergeCell ref="A19:C19"/>
    <mergeCell ref="A20:C20"/>
    <mergeCell ref="A23:C23"/>
    <mergeCell ref="A1:C1"/>
    <mergeCell ref="A15:C15"/>
    <mergeCell ref="A16:C16"/>
    <mergeCell ref="A17:C17"/>
    <mergeCell ref="A18:C1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4F72"/>
    <pageSetUpPr fitToPage="1"/>
  </sheetPr>
  <dimension ref="A1:F14"/>
  <sheetViews>
    <sheetView showGridLines="0" zoomScale="90" zoomScaleNormal="90" workbookViewId="0">
      <pane ySplit="4" topLeftCell="A5" activePane="bottomLeft" state="frozen"/>
      <selection pane="bottomLeft" activeCell="O10" sqref="O10"/>
    </sheetView>
  </sheetViews>
  <sheetFormatPr defaultColWidth="8.6640625" defaultRowHeight="14.4" x14ac:dyDescent="0.3"/>
  <cols>
    <col min="1" max="1" width="22" customWidth="1"/>
    <col min="2" max="5" width="12" customWidth="1"/>
    <col min="6" max="6" width="10" customWidth="1"/>
  </cols>
  <sheetData>
    <row r="1" spans="1:6" ht="25.5" customHeight="1" x14ac:dyDescent="0.3">
      <c r="A1" s="5" t="s">
        <v>39</v>
      </c>
      <c r="B1" s="5"/>
      <c r="C1" s="5"/>
      <c r="D1" s="5"/>
      <c r="E1" s="5"/>
      <c r="F1" s="5"/>
    </row>
    <row r="2" spans="1:6" ht="14.25" customHeight="1" x14ac:dyDescent="0.3">
      <c r="A2" s="69" t="s">
        <v>208</v>
      </c>
    </row>
    <row r="4" spans="1:6" ht="31.5" customHeight="1" x14ac:dyDescent="0.3">
      <c r="A4" s="7" t="s">
        <v>27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44</v>
      </c>
    </row>
    <row r="5" spans="1:6" ht="14.25" customHeight="1" x14ac:dyDescent="0.3">
      <c r="A5" s="14" t="s">
        <v>28</v>
      </c>
      <c r="B5" s="27">
        <f>SUMIFS(Segunda!$D:$D,Segunda!$B:$B,$A5)</f>
        <v>7</v>
      </c>
      <c r="C5" s="27">
        <f>SUMIFS(Terça!$D:$D,Terça!$B:$B,$A5)</f>
        <v>0</v>
      </c>
      <c r="D5" s="27">
        <f>SUMIFS(Quinta!$D:$D,Quinta!$B:$B,$A5)</f>
        <v>6</v>
      </c>
      <c r="E5" s="27">
        <f>SUMIFS(Sexta!$D:$D,Sexta!$B:$B,$A5)</f>
        <v>0</v>
      </c>
      <c r="F5" s="28">
        <f t="shared" ref="F5:F13" si="0">SUM(B5:E5)</f>
        <v>13</v>
      </c>
    </row>
    <row r="6" spans="1:6" ht="14.25" customHeight="1" x14ac:dyDescent="0.3">
      <c r="A6" s="15" t="s">
        <v>29</v>
      </c>
      <c r="B6" s="27">
        <f>SUMIFS(Segunda!$D:$D,Segunda!$B:$B,$A6)</f>
        <v>7</v>
      </c>
      <c r="C6" s="27">
        <f>SUMIFS(Terça!$D:$D,Terça!$B:$B,$A6)</f>
        <v>0</v>
      </c>
      <c r="D6" s="27">
        <f>SUMIFS(Quinta!$D:$D,Quinta!$B:$B,$A6)</f>
        <v>7</v>
      </c>
      <c r="E6" s="27">
        <f>SUMIFS(Sexta!$D:$D,Sexta!$B:$B,$A6)</f>
        <v>0</v>
      </c>
      <c r="F6" s="28">
        <f t="shared" si="0"/>
        <v>14</v>
      </c>
    </row>
    <row r="7" spans="1:6" ht="14.25" customHeight="1" x14ac:dyDescent="0.3">
      <c r="A7" s="16" t="s">
        <v>30</v>
      </c>
      <c r="B7" s="27">
        <f>SUMIFS(Segunda!$D:$D,Segunda!$B:$B,$A7)</f>
        <v>6</v>
      </c>
      <c r="C7" s="27">
        <f>SUMIFS(Terça!$D:$D,Terça!$B:$B,$A7)</f>
        <v>0</v>
      </c>
      <c r="D7" s="27">
        <f>SUMIFS(Quinta!$D:$D,Quinta!$B:$B,$A7)</f>
        <v>6</v>
      </c>
      <c r="E7" s="27">
        <f>SUMIFS(Sexta!$D:$D,Sexta!$B:$B,$A7)</f>
        <v>0</v>
      </c>
      <c r="F7" s="28">
        <f t="shared" si="0"/>
        <v>12</v>
      </c>
    </row>
    <row r="8" spans="1:6" ht="14.25" customHeight="1" x14ac:dyDescent="0.3">
      <c r="A8" s="19" t="s">
        <v>32</v>
      </c>
      <c r="B8" s="27">
        <f>SUMIFS(Segunda!$D:$D,Segunda!$B:$B,$A8)</f>
        <v>3</v>
      </c>
      <c r="C8" s="27">
        <f>SUMIFS(Terça!$D:$D,Terça!$B:$B,$A8)</f>
        <v>0</v>
      </c>
      <c r="D8" s="27">
        <f>SUMIFS(Quinta!$D:$D,Quinta!$B:$B,$A8)</f>
        <v>3</v>
      </c>
      <c r="E8" s="27">
        <f>SUMIFS(Sexta!$D:$D,Sexta!$B:$B,$A8)</f>
        <v>0</v>
      </c>
      <c r="F8" s="28">
        <f t="shared" si="0"/>
        <v>6</v>
      </c>
    </row>
    <row r="9" spans="1:6" ht="14.25" customHeight="1" x14ac:dyDescent="0.3">
      <c r="A9" s="20" t="s">
        <v>33</v>
      </c>
      <c r="B9" s="27">
        <f>SUMIFS(Segunda!$D:$D,Segunda!$B:$B,$A9)</f>
        <v>3</v>
      </c>
      <c r="C9" s="27">
        <f>SUMIFS(Terça!$D:$D,Terça!$B:$B,$A9)</f>
        <v>0</v>
      </c>
      <c r="D9" s="27">
        <f>SUMIFS(Quinta!$D:$D,Quinta!$B:$B,$A9)</f>
        <v>3</v>
      </c>
      <c r="E9" s="27">
        <f>SUMIFS(Sexta!$D:$D,Sexta!$B:$B,$A9)</f>
        <v>0</v>
      </c>
      <c r="F9" s="28">
        <f t="shared" si="0"/>
        <v>6</v>
      </c>
    </row>
    <row r="10" spans="1:6" ht="14.25" customHeight="1" x14ac:dyDescent="0.3">
      <c r="A10" s="21" t="s">
        <v>34</v>
      </c>
      <c r="B10" s="27">
        <f>SUMIFS(Segunda!$D:$D,Segunda!$B:$B,$A10)</f>
        <v>0</v>
      </c>
      <c r="C10" s="27">
        <f>SUMIFS(Terça!$D:$D,Terça!$B:$B,$A10)</f>
        <v>11</v>
      </c>
      <c r="D10" s="27">
        <f>SUMIFS(Quinta!$D:$D,Quinta!$B:$B,$A10)</f>
        <v>0</v>
      </c>
      <c r="E10" s="27">
        <f>SUMIFS(Sexta!$D:$D,Sexta!$B:$B,$A10)</f>
        <v>3</v>
      </c>
      <c r="F10" s="28">
        <f t="shared" si="0"/>
        <v>14</v>
      </c>
    </row>
    <row r="11" spans="1:6" ht="14.25" customHeight="1" x14ac:dyDescent="0.3">
      <c r="A11" s="22" t="s">
        <v>36</v>
      </c>
      <c r="B11" s="27">
        <f>SUMIFS(Segunda!$D:$D,Segunda!$B:$B,$A11)</f>
        <v>0</v>
      </c>
      <c r="C11" s="27">
        <f>SUMIFS(Terça!$D:$D,Terça!$B:$B,$A11)</f>
        <v>9</v>
      </c>
      <c r="D11" s="27">
        <f>SUMIFS(Quinta!$D:$D,Quinta!$B:$B,$A11)</f>
        <v>0</v>
      </c>
      <c r="E11" s="27">
        <f>SUMIFS(Sexta!$D:$D,Sexta!$B:$B,$A11)</f>
        <v>11</v>
      </c>
      <c r="F11" s="28">
        <f t="shared" si="0"/>
        <v>20</v>
      </c>
    </row>
    <row r="12" spans="1:6" ht="14.25" customHeight="1" x14ac:dyDescent="0.3">
      <c r="A12" s="23" t="s">
        <v>37</v>
      </c>
      <c r="B12" s="27">
        <f>SUMIFS(Segunda!$D:$D,Segunda!$B:$B,$A12)</f>
        <v>0</v>
      </c>
      <c r="C12" s="27">
        <f>SUMIFS(Terça!$D:$D,Terça!$B:$B,$A12)</f>
        <v>4</v>
      </c>
      <c r="D12" s="27">
        <f>SUMIFS(Quinta!$D:$D,Quinta!$B:$B,$A12)</f>
        <v>0</v>
      </c>
      <c r="E12" s="27">
        <f>SUMIFS(Sexta!$D:$D,Sexta!$B:$B,$A12)</f>
        <v>4</v>
      </c>
      <c r="F12" s="28">
        <f t="shared" si="0"/>
        <v>8</v>
      </c>
    </row>
    <row r="13" spans="1:6" ht="14.25" customHeight="1" x14ac:dyDescent="0.3">
      <c r="A13" s="24" t="s">
        <v>38</v>
      </c>
      <c r="B13" s="27">
        <f>SUMIFS(Segunda!$D:$D,Segunda!$B:$B,$A13)</f>
        <v>3</v>
      </c>
      <c r="C13" s="27">
        <f>SUMIFS(Terça!$D:$D,Terça!$B:$B,$A13)</f>
        <v>0</v>
      </c>
      <c r="D13" s="27">
        <f>SUMIFS(Quinta!$D:$D,Quinta!$B:$B,$A13)</f>
        <v>4</v>
      </c>
      <c r="E13" s="27">
        <f>SUMIFS(Sexta!$D:$D,Sexta!$B:$B,$A13)</f>
        <v>3</v>
      </c>
      <c r="F13" s="28">
        <f t="shared" si="0"/>
        <v>10</v>
      </c>
    </row>
    <row r="14" spans="1:6" ht="14.25" customHeight="1" x14ac:dyDescent="0.3">
      <c r="A14" s="29" t="s">
        <v>45</v>
      </c>
      <c r="B14" s="30">
        <f>SUM(B5:B13)</f>
        <v>29</v>
      </c>
      <c r="C14" s="30">
        <f>SUM(C5:C13)</f>
        <v>24</v>
      </c>
      <c r="D14" s="30">
        <f>SUM(D5:D13)</f>
        <v>29</v>
      </c>
      <c r="E14" s="30">
        <f>SUM(E5:E13)</f>
        <v>21</v>
      </c>
      <c r="F14" s="30">
        <f>SUM(F5:F13)</f>
        <v>103</v>
      </c>
    </row>
  </sheetData>
  <mergeCells count="1">
    <mergeCell ref="A1:F1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8CBAD"/>
    <pageSetUpPr fitToPage="1"/>
  </sheetPr>
  <dimension ref="A1:H14"/>
  <sheetViews>
    <sheetView showGridLines="0" zoomScale="80" zoomScaleNormal="80" workbookViewId="0">
      <pane ySplit="4" topLeftCell="A5" activePane="bottomLeft" state="frozen"/>
      <selection pane="bottomLeft" activeCell="H13" sqref="H13"/>
    </sheetView>
  </sheetViews>
  <sheetFormatPr defaultColWidth="8.6640625" defaultRowHeight="14.4" x14ac:dyDescent="0.3"/>
  <cols>
    <col min="1" max="1" width="5" customWidth="1"/>
    <col min="2" max="2" width="18" customWidth="1"/>
    <col min="3" max="3" width="34" customWidth="1"/>
    <col min="4" max="4" width="9" customWidth="1"/>
    <col min="5" max="5" width="14" customWidth="1"/>
    <col min="6" max="6" width="10" customWidth="1"/>
    <col min="7" max="7" width="12" customWidth="1"/>
    <col min="8" max="8" width="46" customWidth="1"/>
  </cols>
  <sheetData>
    <row r="1" spans="1:8" ht="25.5" customHeight="1" x14ac:dyDescent="0.3">
      <c r="A1" s="5" t="s">
        <v>46</v>
      </c>
      <c r="B1" s="5"/>
      <c r="C1" s="5"/>
      <c r="D1" s="5"/>
      <c r="E1" s="5"/>
      <c r="F1" s="5"/>
      <c r="G1" s="5"/>
      <c r="H1" s="5"/>
    </row>
    <row r="2" spans="1:8" ht="14.25" customHeight="1" x14ac:dyDescent="0.3">
      <c r="A2" s="26" t="s">
        <v>47</v>
      </c>
    </row>
    <row r="4" spans="1:8" ht="31.5" customHeight="1" x14ac:dyDescent="0.3">
      <c r="A4" s="7" t="s">
        <v>48</v>
      </c>
      <c r="B4" s="7" t="s">
        <v>27</v>
      </c>
      <c r="C4" s="7" t="s">
        <v>49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</row>
    <row r="5" spans="1:8" ht="87" customHeight="1" x14ac:dyDescent="0.3">
      <c r="A5" s="31">
        <v>1</v>
      </c>
      <c r="B5" s="32" t="s">
        <v>28</v>
      </c>
      <c r="C5" s="33" t="s">
        <v>55</v>
      </c>
      <c r="D5" s="31">
        <v>4</v>
      </c>
      <c r="E5" s="34" t="s">
        <v>56</v>
      </c>
      <c r="F5" s="34" t="s">
        <v>57</v>
      </c>
      <c r="G5" s="35"/>
      <c r="H5" s="36" t="s">
        <v>58</v>
      </c>
    </row>
    <row r="6" spans="1:8" ht="66" customHeight="1" x14ac:dyDescent="0.3">
      <c r="A6" s="31">
        <v>2</v>
      </c>
      <c r="B6" s="32" t="s">
        <v>28</v>
      </c>
      <c r="C6" s="33" t="s">
        <v>59</v>
      </c>
      <c r="D6" s="31">
        <v>3</v>
      </c>
      <c r="E6" s="34" t="s">
        <v>60</v>
      </c>
      <c r="F6" s="34" t="s">
        <v>57</v>
      </c>
      <c r="G6" s="35"/>
      <c r="H6" s="36" t="s">
        <v>61</v>
      </c>
    </row>
    <row r="7" spans="1:8" ht="66" customHeight="1" x14ac:dyDescent="0.3">
      <c r="A7" s="31">
        <v>3</v>
      </c>
      <c r="B7" s="37" t="s">
        <v>29</v>
      </c>
      <c r="C7" s="33" t="s">
        <v>62</v>
      </c>
      <c r="D7" s="31">
        <v>4</v>
      </c>
      <c r="E7" s="34" t="s">
        <v>60</v>
      </c>
      <c r="F7" s="34" t="s">
        <v>57</v>
      </c>
      <c r="G7" s="35"/>
      <c r="H7" s="36" t="s">
        <v>63</v>
      </c>
    </row>
    <row r="8" spans="1:8" ht="57.75" customHeight="1" x14ac:dyDescent="0.3">
      <c r="A8" s="31">
        <v>4</v>
      </c>
      <c r="B8" s="37" t="s">
        <v>29</v>
      </c>
      <c r="C8" s="33" t="s">
        <v>64</v>
      </c>
      <c r="D8" s="31">
        <v>3</v>
      </c>
      <c r="E8" s="34" t="s">
        <v>60</v>
      </c>
      <c r="F8" s="34" t="s">
        <v>57</v>
      </c>
      <c r="G8" s="35"/>
      <c r="H8" s="36" t="s">
        <v>65</v>
      </c>
    </row>
    <row r="9" spans="1:8" ht="31.5" customHeight="1" x14ac:dyDescent="0.3">
      <c r="A9" s="31">
        <v>5</v>
      </c>
      <c r="B9" s="38" t="s">
        <v>30</v>
      </c>
      <c r="C9" s="33" t="s">
        <v>66</v>
      </c>
      <c r="D9" s="31">
        <v>3</v>
      </c>
      <c r="E9" s="34" t="s">
        <v>60</v>
      </c>
      <c r="F9" s="34" t="s">
        <v>67</v>
      </c>
      <c r="G9" s="35"/>
      <c r="H9" s="36" t="s">
        <v>68</v>
      </c>
    </row>
    <row r="10" spans="1:8" ht="54" customHeight="1" x14ac:dyDescent="0.3">
      <c r="A10" s="31">
        <v>6</v>
      </c>
      <c r="B10" s="38" t="s">
        <v>30</v>
      </c>
      <c r="C10" s="33" t="s">
        <v>69</v>
      </c>
      <c r="D10" s="31">
        <v>3</v>
      </c>
      <c r="E10" s="34" t="s">
        <v>70</v>
      </c>
      <c r="F10" s="34" t="s">
        <v>71</v>
      </c>
      <c r="G10" s="35"/>
      <c r="H10" s="36" t="s">
        <v>72</v>
      </c>
    </row>
    <row r="11" spans="1:8" ht="42.75" customHeight="1" x14ac:dyDescent="0.3">
      <c r="A11" s="31">
        <v>7</v>
      </c>
      <c r="B11" s="39" t="s">
        <v>33</v>
      </c>
      <c r="C11" s="33" t="s">
        <v>73</v>
      </c>
      <c r="D11" s="31">
        <v>3</v>
      </c>
      <c r="E11" s="34" t="s">
        <v>74</v>
      </c>
      <c r="F11" s="34" t="s">
        <v>71</v>
      </c>
      <c r="G11" s="35"/>
      <c r="H11" s="36" t="s">
        <v>75</v>
      </c>
    </row>
    <row r="12" spans="1:8" ht="63" customHeight="1" x14ac:dyDescent="0.3">
      <c r="A12" s="31">
        <v>8</v>
      </c>
      <c r="B12" s="40" t="s">
        <v>32</v>
      </c>
      <c r="C12" s="33" t="s">
        <v>76</v>
      </c>
      <c r="D12" s="31">
        <v>3</v>
      </c>
      <c r="E12" s="34" t="s">
        <v>77</v>
      </c>
      <c r="F12" s="34" t="s">
        <v>71</v>
      </c>
      <c r="G12" s="35"/>
      <c r="H12" s="36" t="s">
        <v>78</v>
      </c>
    </row>
    <row r="13" spans="1:8" ht="33.75" customHeight="1" x14ac:dyDescent="0.3">
      <c r="A13" s="31">
        <v>9</v>
      </c>
      <c r="B13" s="41" t="s">
        <v>38</v>
      </c>
      <c r="C13" s="33" t="s">
        <v>79</v>
      </c>
      <c r="D13" s="31">
        <v>3</v>
      </c>
      <c r="E13" s="34" t="s">
        <v>70</v>
      </c>
      <c r="F13" s="34" t="s">
        <v>80</v>
      </c>
      <c r="G13" s="35"/>
      <c r="H13" s="36" t="s">
        <v>81</v>
      </c>
    </row>
    <row r="14" spans="1:8" ht="14.25" customHeight="1" x14ac:dyDescent="0.3">
      <c r="A14" s="4"/>
      <c r="B14" s="4"/>
      <c r="C14" s="4"/>
      <c r="D14" s="28">
        <f>SUM(D5:D13)</f>
        <v>29</v>
      </c>
      <c r="E14" s="42"/>
      <c r="F14" s="42"/>
      <c r="G14" s="42"/>
      <c r="H14" s="42"/>
    </row>
  </sheetData>
  <mergeCells count="2">
    <mergeCell ref="A1:H1"/>
    <mergeCell ref="A14:C1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183"/>
    <pageSetUpPr fitToPage="1"/>
  </sheetPr>
  <dimension ref="A1:H12"/>
  <sheetViews>
    <sheetView showGridLines="0" zoomScale="80" zoomScaleNormal="80" workbookViewId="0">
      <pane ySplit="4" topLeftCell="A5" activePane="bottomLeft" state="frozen"/>
      <selection activeCell="C1" sqref="C1"/>
      <selection pane="bottomLeft" activeCell="I11" sqref="I11"/>
    </sheetView>
  </sheetViews>
  <sheetFormatPr defaultColWidth="8.6640625" defaultRowHeight="14.4" x14ac:dyDescent="0.3"/>
  <cols>
    <col min="1" max="1" width="5" customWidth="1"/>
    <col min="2" max="2" width="18" customWidth="1"/>
    <col min="3" max="3" width="34" customWidth="1"/>
    <col min="4" max="4" width="9" customWidth="1"/>
    <col min="5" max="5" width="14" customWidth="1"/>
    <col min="6" max="6" width="10" customWidth="1"/>
    <col min="7" max="7" width="12" customWidth="1"/>
    <col min="8" max="8" width="46" customWidth="1"/>
  </cols>
  <sheetData>
    <row r="1" spans="1:8" ht="25.5" customHeight="1" x14ac:dyDescent="0.3">
      <c r="A1" s="5" t="s">
        <v>82</v>
      </c>
      <c r="B1" s="5"/>
      <c r="C1" s="5"/>
      <c r="D1" s="5"/>
      <c r="E1" s="5"/>
      <c r="F1" s="5"/>
      <c r="G1" s="5"/>
      <c r="H1" s="5"/>
    </row>
    <row r="2" spans="1:8" ht="14.25" customHeight="1" x14ac:dyDescent="0.3">
      <c r="A2" s="26" t="s">
        <v>47</v>
      </c>
    </row>
    <row r="4" spans="1:8" ht="31.5" customHeight="1" x14ac:dyDescent="0.3">
      <c r="A4" s="7" t="s">
        <v>48</v>
      </c>
      <c r="B4" s="7" t="s">
        <v>27</v>
      </c>
      <c r="C4" s="7" t="s">
        <v>49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</row>
    <row r="5" spans="1:8" ht="76.5" customHeight="1" x14ac:dyDescent="0.3">
      <c r="A5" s="31">
        <v>1</v>
      </c>
      <c r="B5" s="43" t="s">
        <v>34</v>
      </c>
      <c r="C5" s="33" t="s">
        <v>83</v>
      </c>
      <c r="D5" s="31">
        <v>4</v>
      </c>
      <c r="E5" s="34" t="s">
        <v>74</v>
      </c>
      <c r="F5" s="34" t="s">
        <v>71</v>
      </c>
      <c r="G5" s="35"/>
      <c r="H5" s="36" t="s">
        <v>84</v>
      </c>
    </row>
    <row r="6" spans="1:8" ht="71.25" customHeight="1" x14ac:dyDescent="0.3">
      <c r="A6" s="31">
        <v>2</v>
      </c>
      <c r="B6" s="43" t="s">
        <v>34</v>
      </c>
      <c r="C6" s="33" t="s">
        <v>85</v>
      </c>
      <c r="D6" s="31">
        <v>4</v>
      </c>
      <c r="E6" s="34" t="s">
        <v>60</v>
      </c>
      <c r="F6" s="34" t="s">
        <v>86</v>
      </c>
      <c r="G6" s="35"/>
      <c r="H6" s="36" t="s">
        <v>87</v>
      </c>
    </row>
    <row r="7" spans="1:8" ht="69" customHeight="1" x14ac:dyDescent="0.3">
      <c r="A7" s="31">
        <v>3</v>
      </c>
      <c r="B7" s="43" t="s">
        <v>34</v>
      </c>
      <c r="C7" s="33" t="s">
        <v>88</v>
      </c>
      <c r="D7" s="31">
        <v>3</v>
      </c>
      <c r="E7" s="34" t="s">
        <v>89</v>
      </c>
      <c r="F7" s="34" t="s">
        <v>57</v>
      </c>
      <c r="G7" s="35"/>
      <c r="H7" s="36" t="s">
        <v>90</v>
      </c>
    </row>
    <row r="8" spans="1:8" ht="64.5" customHeight="1" x14ac:dyDescent="0.3">
      <c r="A8" s="31">
        <v>4</v>
      </c>
      <c r="B8" s="44" t="s">
        <v>36</v>
      </c>
      <c r="C8" s="33" t="s">
        <v>91</v>
      </c>
      <c r="D8" s="31">
        <v>3</v>
      </c>
      <c r="E8" s="34" t="s">
        <v>77</v>
      </c>
      <c r="F8" s="34" t="s">
        <v>67</v>
      </c>
      <c r="G8" s="35"/>
      <c r="H8" s="36" t="s">
        <v>92</v>
      </c>
    </row>
    <row r="9" spans="1:8" ht="60.75" customHeight="1" x14ac:dyDescent="0.3">
      <c r="A9" s="31">
        <v>5</v>
      </c>
      <c r="B9" s="44" t="s">
        <v>36</v>
      </c>
      <c r="C9" s="33" t="s">
        <v>93</v>
      </c>
      <c r="D9" s="31">
        <v>3</v>
      </c>
      <c r="E9" s="34" t="s">
        <v>94</v>
      </c>
      <c r="F9" s="34" t="s">
        <v>80</v>
      </c>
      <c r="G9" s="35"/>
      <c r="H9" s="36" t="s">
        <v>95</v>
      </c>
    </row>
    <row r="10" spans="1:8" ht="60.75" customHeight="1" x14ac:dyDescent="0.3">
      <c r="A10" s="31">
        <v>6</v>
      </c>
      <c r="B10" s="44" t="s">
        <v>36</v>
      </c>
      <c r="C10" s="33" t="s">
        <v>96</v>
      </c>
      <c r="D10" s="31">
        <v>3</v>
      </c>
      <c r="E10" s="34" t="s">
        <v>94</v>
      </c>
      <c r="F10" s="34" t="s">
        <v>80</v>
      </c>
      <c r="G10" s="35"/>
      <c r="H10" s="36" t="s">
        <v>97</v>
      </c>
    </row>
    <row r="11" spans="1:8" ht="65.25" customHeight="1" x14ac:dyDescent="0.3">
      <c r="A11" s="31">
        <v>7</v>
      </c>
      <c r="B11" s="45" t="s">
        <v>37</v>
      </c>
      <c r="C11" s="33" t="s">
        <v>98</v>
      </c>
      <c r="D11" s="31">
        <v>4</v>
      </c>
      <c r="E11" s="34" t="s">
        <v>94</v>
      </c>
      <c r="F11" s="34" t="s">
        <v>80</v>
      </c>
      <c r="G11" s="35"/>
      <c r="H11" s="36" t="s">
        <v>99</v>
      </c>
    </row>
    <row r="12" spans="1:8" ht="14.25" customHeight="1" x14ac:dyDescent="0.3">
      <c r="A12" s="4"/>
      <c r="B12" s="4"/>
      <c r="C12" s="4"/>
      <c r="D12" s="28">
        <f>SUM(D5:D11)</f>
        <v>24</v>
      </c>
      <c r="E12" s="42"/>
      <c r="F12" s="42"/>
      <c r="G12" s="42"/>
      <c r="H12" s="42"/>
    </row>
  </sheetData>
  <mergeCells count="2">
    <mergeCell ref="A1:H1"/>
    <mergeCell ref="A12:C1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6E0B4"/>
    <pageSetUpPr fitToPage="1"/>
  </sheetPr>
  <dimension ref="A1:H14"/>
  <sheetViews>
    <sheetView showGridLines="0" zoomScale="80" zoomScaleNormal="80" workbookViewId="0">
      <pane ySplit="4" topLeftCell="A5" activePane="bottomLeft" state="frozen"/>
      <selection pane="bottomLeft" activeCell="H12" sqref="H12"/>
    </sheetView>
  </sheetViews>
  <sheetFormatPr defaultColWidth="8.6640625" defaultRowHeight="14.4" x14ac:dyDescent="0.3"/>
  <cols>
    <col min="1" max="1" width="5" customWidth="1"/>
    <col min="2" max="2" width="18" customWidth="1"/>
    <col min="3" max="3" width="34" customWidth="1"/>
    <col min="4" max="4" width="9" customWidth="1"/>
    <col min="5" max="5" width="14" customWidth="1"/>
    <col min="6" max="6" width="10" customWidth="1"/>
    <col min="7" max="7" width="12" customWidth="1"/>
    <col min="8" max="8" width="46" customWidth="1"/>
  </cols>
  <sheetData>
    <row r="1" spans="1:8" ht="25.5" customHeight="1" x14ac:dyDescent="0.3">
      <c r="A1" s="5" t="s">
        <v>100</v>
      </c>
      <c r="B1" s="5"/>
      <c r="C1" s="5"/>
      <c r="D1" s="5"/>
      <c r="E1" s="5"/>
      <c r="F1" s="5"/>
      <c r="G1" s="5"/>
      <c r="H1" s="5"/>
    </row>
    <row r="2" spans="1:8" ht="14.25" customHeight="1" x14ac:dyDescent="0.3">
      <c r="A2" s="26" t="s">
        <v>47</v>
      </c>
    </row>
    <row r="4" spans="1:8" ht="31.5" customHeight="1" x14ac:dyDescent="0.3">
      <c r="A4" s="7" t="s">
        <v>48</v>
      </c>
      <c r="B4" s="7" t="s">
        <v>27</v>
      </c>
      <c r="C4" s="7" t="s">
        <v>49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</row>
    <row r="5" spans="1:8" ht="78" customHeight="1" x14ac:dyDescent="0.3">
      <c r="A5" s="31">
        <v>1</v>
      </c>
      <c r="B5" s="37" t="s">
        <v>29</v>
      </c>
      <c r="C5" s="33" t="s">
        <v>101</v>
      </c>
      <c r="D5" s="31">
        <v>4</v>
      </c>
      <c r="E5" s="34" t="s">
        <v>56</v>
      </c>
      <c r="F5" s="34" t="s">
        <v>57</v>
      </c>
      <c r="G5" s="35"/>
      <c r="H5" s="36" t="s">
        <v>102</v>
      </c>
    </row>
    <row r="6" spans="1:8" ht="74.25" customHeight="1" x14ac:dyDescent="0.3">
      <c r="A6" s="31">
        <v>2</v>
      </c>
      <c r="B6" s="37" t="s">
        <v>29</v>
      </c>
      <c r="C6" s="33" t="s">
        <v>103</v>
      </c>
      <c r="D6" s="31">
        <v>3</v>
      </c>
      <c r="E6" s="34" t="s">
        <v>89</v>
      </c>
      <c r="F6" s="34" t="s">
        <v>57</v>
      </c>
      <c r="G6" s="35"/>
      <c r="H6" s="36" t="s">
        <v>104</v>
      </c>
    </row>
    <row r="7" spans="1:8" ht="70.5" customHeight="1" x14ac:dyDescent="0.3">
      <c r="A7" s="31">
        <v>3</v>
      </c>
      <c r="B7" s="32" t="s">
        <v>28</v>
      </c>
      <c r="C7" s="33" t="s">
        <v>105</v>
      </c>
      <c r="D7" s="31">
        <v>3</v>
      </c>
      <c r="E7" s="34" t="s">
        <v>74</v>
      </c>
      <c r="F7" s="34" t="s">
        <v>67</v>
      </c>
      <c r="G7" s="35"/>
      <c r="H7" s="36" t="s">
        <v>106</v>
      </c>
    </row>
    <row r="8" spans="1:8" ht="56.25" customHeight="1" x14ac:dyDescent="0.3">
      <c r="A8" s="31">
        <v>4</v>
      </c>
      <c r="B8" s="32" t="s">
        <v>28</v>
      </c>
      <c r="C8" s="33" t="s">
        <v>107</v>
      </c>
      <c r="D8" s="31">
        <v>3</v>
      </c>
      <c r="E8" s="34" t="s">
        <v>60</v>
      </c>
      <c r="F8" s="34" t="s">
        <v>57</v>
      </c>
      <c r="G8" s="35"/>
      <c r="H8" s="36" t="s">
        <v>108</v>
      </c>
    </row>
    <row r="9" spans="1:8" ht="75.75" customHeight="1" x14ac:dyDescent="0.3">
      <c r="A9" s="31">
        <v>5</v>
      </c>
      <c r="B9" s="38" t="s">
        <v>30</v>
      </c>
      <c r="C9" s="33" t="s">
        <v>109</v>
      </c>
      <c r="D9" s="31">
        <v>3</v>
      </c>
      <c r="E9" s="34" t="s">
        <v>70</v>
      </c>
      <c r="F9" s="34" t="s">
        <v>71</v>
      </c>
      <c r="G9" s="35"/>
      <c r="H9" s="36" t="s">
        <v>110</v>
      </c>
    </row>
    <row r="10" spans="1:8" ht="59.25" customHeight="1" x14ac:dyDescent="0.3">
      <c r="A10" s="31">
        <v>6</v>
      </c>
      <c r="B10" s="38" t="s">
        <v>30</v>
      </c>
      <c r="C10" s="33" t="s">
        <v>111</v>
      </c>
      <c r="D10" s="31">
        <v>3</v>
      </c>
      <c r="E10" s="34" t="s">
        <v>70</v>
      </c>
      <c r="F10" s="34" t="s">
        <v>71</v>
      </c>
      <c r="G10" s="35"/>
      <c r="H10" s="36" t="s">
        <v>112</v>
      </c>
    </row>
    <row r="11" spans="1:8" ht="94.5" customHeight="1" x14ac:dyDescent="0.3">
      <c r="A11" s="31">
        <v>7</v>
      </c>
      <c r="B11" s="40" t="s">
        <v>32</v>
      </c>
      <c r="C11" s="33" t="s">
        <v>113</v>
      </c>
      <c r="D11" s="31">
        <v>3</v>
      </c>
      <c r="E11" s="34" t="s">
        <v>114</v>
      </c>
      <c r="F11" s="34" t="s">
        <v>57</v>
      </c>
      <c r="G11" s="35"/>
      <c r="H11" s="36" t="s">
        <v>115</v>
      </c>
    </row>
    <row r="12" spans="1:8" ht="93" customHeight="1" x14ac:dyDescent="0.3">
      <c r="A12" s="31">
        <v>8</v>
      </c>
      <c r="B12" s="39" t="s">
        <v>33</v>
      </c>
      <c r="C12" s="33" t="s">
        <v>116</v>
      </c>
      <c r="D12" s="31">
        <v>3</v>
      </c>
      <c r="E12" s="34" t="s">
        <v>77</v>
      </c>
      <c r="F12" s="34" t="s">
        <v>71</v>
      </c>
      <c r="G12" s="35"/>
      <c r="H12" s="36" t="s">
        <v>117</v>
      </c>
    </row>
    <row r="13" spans="1:8" ht="57" customHeight="1" x14ac:dyDescent="0.3">
      <c r="A13" s="31">
        <v>9</v>
      </c>
      <c r="B13" s="41" t="s">
        <v>38</v>
      </c>
      <c r="C13" s="33" t="s">
        <v>118</v>
      </c>
      <c r="D13" s="31">
        <v>4</v>
      </c>
      <c r="E13" s="34" t="s">
        <v>94</v>
      </c>
      <c r="F13" s="34" t="s">
        <v>80</v>
      </c>
      <c r="G13" s="35"/>
      <c r="H13" s="36" t="s">
        <v>119</v>
      </c>
    </row>
    <row r="14" spans="1:8" ht="14.25" customHeight="1" x14ac:dyDescent="0.3">
      <c r="A14" s="4"/>
      <c r="B14" s="4"/>
      <c r="C14" s="4"/>
      <c r="D14" s="28">
        <f>SUM(D5:D13)</f>
        <v>29</v>
      </c>
      <c r="E14" s="42"/>
      <c r="F14" s="42"/>
      <c r="G14" s="42"/>
      <c r="H14" s="42"/>
    </row>
  </sheetData>
  <mergeCells count="2">
    <mergeCell ref="A1:H1"/>
    <mergeCell ref="A14:C1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9D18E"/>
    <pageSetUpPr fitToPage="1"/>
  </sheetPr>
  <dimension ref="A1:H11"/>
  <sheetViews>
    <sheetView showGridLines="0" zoomScale="80" zoomScaleNormal="80" workbookViewId="0">
      <pane ySplit="4" topLeftCell="A5" activePane="bottomLeft" state="frozen"/>
      <selection pane="bottomLeft" activeCell="J9" sqref="J9"/>
    </sheetView>
  </sheetViews>
  <sheetFormatPr defaultColWidth="8.6640625" defaultRowHeight="14.4" x14ac:dyDescent="0.3"/>
  <cols>
    <col min="1" max="1" width="5" customWidth="1"/>
    <col min="2" max="2" width="18" customWidth="1"/>
    <col min="3" max="3" width="34" customWidth="1"/>
    <col min="4" max="4" width="9" customWidth="1"/>
    <col min="5" max="5" width="14" customWidth="1"/>
    <col min="6" max="6" width="10" customWidth="1"/>
    <col min="7" max="7" width="12" customWidth="1"/>
    <col min="8" max="8" width="46" customWidth="1"/>
  </cols>
  <sheetData>
    <row r="1" spans="1:8" ht="25.5" customHeight="1" x14ac:dyDescent="0.3">
      <c r="A1" s="5" t="s">
        <v>120</v>
      </c>
      <c r="B1" s="5"/>
      <c r="C1" s="5"/>
      <c r="D1" s="5"/>
      <c r="E1" s="5"/>
      <c r="F1" s="5"/>
      <c r="G1" s="5"/>
      <c r="H1" s="5"/>
    </row>
    <row r="2" spans="1:8" ht="14.25" customHeight="1" x14ac:dyDescent="0.3">
      <c r="A2" s="26" t="s">
        <v>47</v>
      </c>
    </row>
    <row r="4" spans="1:8" ht="31.5" customHeight="1" x14ac:dyDescent="0.3">
      <c r="A4" s="7" t="s">
        <v>48</v>
      </c>
      <c r="B4" s="7" t="s">
        <v>27</v>
      </c>
      <c r="C4" s="7" t="s">
        <v>49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</row>
    <row r="5" spans="1:8" ht="85.5" customHeight="1" x14ac:dyDescent="0.3">
      <c r="A5" s="31">
        <v>1</v>
      </c>
      <c r="B5" s="44" t="s">
        <v>36</v>
      </c>
      <c r="C5" s="33" t="s">
        <v>121</v>
      </c>
      <c r="D5" s="31">
        <v>3</v>
      </c>
      <c r="E5" s="34" t="s">
        <v>77</v>
      </c>
      <c r="F5" s="34" t="s">
        <v>67</v>
      </c>
      <c r="G5" s="35"/>
      <c r="H5" s="36" t="s">
        <v>122</v>
      </c>
    </row>
    <row r="6" spans="1:8" ht="80.25" customHeight="1" x14ac:dyDescent="0.3">
      <c r="A6" s="31">
        <v>2</v>
      </c>
      <c r="B6" s="44" t="s">
        <v>36</v>
      </c>
      <c r="C6" s="33" t="s">
        <v>123</v>
      </c>
      <c r="D6" s="31">
        <v>4</v>
      </c>
      <c r="E6" s="34" t="s">
        <v>60</v>
      </c>
      <c r="F6" s="34" t="s">
        <v>57</v>
      </c>
      <c r="G6" s="35"/>
      <c r="H6" s="36" t="s">
        <v>124</v>
      </c>
    </row>
    <row r="7" spans="1:8" ht="69" customHeight="1" x14ac:dyDescent="0.3">
      <c r="A7" s="31">
        <v>3</v>
      </c>
      <c r="B7" s="44" t="s">
        <v>36</v>
      </c>
      <c r="C7" s="33" t="s">
        <v>125</v>
      </c>
      <c r="D7" s="31">
        <v>4</v>
      </c>
      <c r="E7" s="34" t="s">
        <v>56</v>
      </c>
      <c r="F7" s="34" t="s">
        <v>57</v>
      </c>
      <c r="G7" s="35"/>
      <c r="H7" s="36" t="s">
        <v>126</v>
      </c>
    </row>
    <row r="8" spans="1:8" ht="71.25" customHeight="1" x14ac:dyDescent="0.3">
      <c r="A8" s="31">
        <v>4</v>
      </c>
      <c r="B8" s="43" t="s">
        <v>34</v>
      </c>
      <c r="C8" s="33" t="s">
        <v>127</v>
      </c>
      <c r="D8" s="31">
        <v>3</v>
      </c>
      <c r="E8" s="34" t="s">
        <v>128</v>
      </c>
      <c r="F8" s="34" t="s">
        <v>57</v>
      </c>
      <c r="G8" s="35"/>
      <c r="H8" s="36" t="s">
        <v>129</v>
      </c>
    </row>
    <row r="9" spans="1:8" ht="64.5" customHeight="1" x14ac:dyDescent="0.3">
      <c r="A9" s="31">
        <v>5</v>
      </c>
      <c r="B9" s="45" t="s">
        <v>37</v>
      </c>
      <c r="C9" s="33" t="s">
        <v>130</v>
      </c>
      <c r="D9" s="31">
        <v>4</v>
      </c>
      <c r="E9" s="34" t="s">
        <v>94</v>
      </c>
      <c r="F9" s="34" t="s">
        <v>80</v>
      </c>
      <c r="G9" s="35"/>
      <c r="H9" s="36" t="s">
        <v>131</v>
      </c>
    </row>
    <row r="10" spans="1:8" ht="77.25" customHeight="1" x14ac:dyDescent="0.3">
      <c r="A10" s="31">
        <v>6</v>
      </c>
      <c r="B10" s="41" t="s">
        <v>38</v>
      </c>
      <c r="C10" s="33" t="s">
        <v>132</v>
      </c>
      <c r="D10" s="31">
        <v>3</v>
      </c>
      <c r="E10" s="34" t="s">
        <v>133</v>
      </c>
      <c r="F10" s="34" t="s">
        <v>80</v>
      </c>
      <c r="G10" s="35"/>
      <c r="H10" s="36" t="s">
        <v>134</v>
      </c>
    </row>
    <row r="11" spans="1:8" ht="14.25" customHeight="1" x14ac:dyDescent="0.3">
      <c r="A11" s="4"/>
      <c r="B11" s="4"/>
      <c r="C11" s="4"/>
      <c r="D11" s="28">
        <f>SUM(D5:D10)</f>
        <v>21</v>
      </c>
      <c r="E11" s="42"/>
      <c r="F11" s="42"/>
      <c r="G11" s="42"/>
      <c r="H11" s="42"/>
    </row>
  </sheetData>
  <mergeCells count="2">
    <mergeCell ref="A1:H1"/>
    <mergeCell ref="A11:C1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E699"/>
    <pageSetUpPr fitToPage="1"/>
  </sheetPr>
  <dimension ref="A1:C13"/>
  <sheetViews>
    <sheetView showGridLines="0" zoomScale="80" zoomScaleNormal="80" workbookViewId="0">
      <pane ySplit="4" topLeftCell="A7" activePane="bottomLeft" state="frozen"/>
      <selection pane="bottomLeft" activeCell="F8" sqref="F8"/>
    </sheetView>
  </sheetViews>
  <sheetFormatPr defaultColWidth="8.6640625" defaultRowHeight="14.4" x14ac:dyDescent="0.3"/>
  <cols>
    <col min="1" max="1" width="31.33203125" customWidth="1"/>
    <col min="2" max="2" width="30" customWidth="1"/>
    <col min="3" max="3" width="50" customWidth="1"/>
  </cols>
  <sheetData>
    <row r="1" spans="1:3" ht="25.5" customHeight="1" x14ac:dyDescent="0.3">
      <c r="A1" s="5" t="s">
        <v>157</v>
      </c>
      <c r="B1" s="5"/>
      <c r="C1" s="5"/>
    </row>
    <row r="2" spans="1:3" ht="14.25" customHeight="1" x14ac:dyDescent="0.3">
      <c r="A2" s="26" t="s">
        <v>158</v>
      </c>
    </row>
    <row r="4" spans="1:3" ht="31.5" customHeight="1" x14ac:dyDescent="0.3">
      <c r="A4" s="7" t="s">
        <v>159</v>
      </c>
      <c r="B4" s="7" t="s">
        <v>160</v>
      </c>
      <c r="C4" s="7" t="s">
        <v>4</v>
      </c>
    </row>
    <row r="5" spans="1:3" ht="39.75" customHeight="1" x14ac:dyDescent="0.3">
      <c r="A5" s="50" t="s">
        <v>161</v>
      </c>
      <c r="B5" s="51" t="str">
        <f>Resumo!B8 &amp; " litros/dia"</f>
        <v>4,27 litros/dia</v>
      </c>
      <c r="C5" s="52" t="s">
        <v>162</v>
      </c>
    </row>
    <row r="6" spans="1:3" ht="39.75" customHeight="1" x14ac:dyDescent="0.3">
      <c r="A6" s="50" t="s">
        <v>163</v>
      </c>
      <c r="B6" s="53" t="s">
        <v>164</v>
      </c>
      <c r="C6" s="52" t="s">
        <v>165</v>
      </c>
    </row>
    <row r="7" spans="1:3" ht="62.4" customHeight="1" x14ac:dyDescent="0.3">
      <c r="A7" s="50" t="s">
        <v>166</v>
      </c>
      <c r="B7" s="61" t="s">
        <v>205</v>
      </c>
      <c r="C7" s="62" t="s">
        <v>206</v>
      </c>
    </row>
    <row r="8" spans="1:3" ht="39.75" customHeight="1" x14ac:dyDescent="0.3">
      <c r="A8" s="50" t="s">
        <v>167</v>
      </c>
      <c r="B8" s="33" t="s">
        <v>168</v>
      </c>
      <c r="C8" s="36"/>
    </row>
    <row r="9" spans="1:3" ht="39.75" customHeight="1" x14ac:dyDescent="0.3">
      <c r="A9" s="50" t="s">
        <v>169</v>
      </c>
      <c r="B9" s="33" t="s">
        <v>170</v>
      </c>
      <c r="C9" s="36" t="s">
        <v>171</v>
      </c>
    </row>
    <row r="10" spans="1:3" ht="51.6" customHeight="1" x14ac:dyDescent="0.3">
      <c r="A10" s="50" t="s">
        <v>172</v>
      </c>
      <c r="B10" s="33" t="s">
        <v>173</v>
      </c>
      <c r="C10" s="36" t="s">
        <v>174</v>
      </c>
    </row>
    <row r="11" spans="1:3" ht="77.400000000000006" customHeight="1" x14ac:dyDescent="0.3">
      <c r="A11" s="50" t="s">
        <v>175</v>
      </c>
      <c r="B11" s="33" t="s">
        <v>176</v>
      </c>
      <c r="C11" s="62" t="s">
        <v>201</v>
      </c>
    </row>
    <row r="12" spans="1:3" ht="39.75" customHeight="1" x14ac:dyDescent="0.3">
      <c r="A12" s="50" t="s">
        <v>177</v>
      </c>
      <c r="B12" s="63" t="s">
        <v>202</v>
      </c>
      <c r="C12" s="64" t="s">
        <v>203</v>
      </c>
    </row>
    <row r="13" spans="1:3" ht="39.75" customHeight="1" x14ac:dyDescent="0.3"/>
  </sheetData>
  <mergeCells count="1">
    <mergeCell ref="A1:C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D7EE"/>
    <pageSetUpPr fitToPage="1"/>
  </sheetPr>
  <dimension ref="A1:F17"/>
  <sheetViews>
    <sheetView showGridLines="0" zoomScale="90" zoomScaleNormal="90" workbookViewId="0">
      <pane ySplit="4" topLeftCell="A5" activePane="bottomLeft" state="frozen"/>
      <selection pane="bottomLeft" activeCell="H9" sqref="H9"/>
    </sheetView>
  </sheetViews>
  <sheetFormatPr defaultColWidth="8.6640625" defaultRowHeight="14.4" x14ac:dyDescent="0.3"/>
  <cols>
    <col min="1" max="1" width="12" customWidth="1"/>
    <col min="2" max="5" width="18" customWidth="1"/>
    <col min="6" max="6" width="40" customWidth="1"/>
  </cols>
  <sheetData>
    <row r="1" spans="1:6" ht="25.5" customHeight="1" x14ac:dyDescent="0.3">
      <c r="A1" s="5" t="s">
        <v>135</v>
      </c>
      <c r="B1" s="5"/>
      <c r="C1" s="5"/>
      <c r="D1" s="5"/>
      <c r="E1" s="5"/>
      <c r="F1" s="5"/>
    </row>
    <row r="2" spans="1:6" ht="14.25" customHeight="1" x14ac:dyDescent="0.3">
      <c r="A2" s="26" t="s">
        <v>136</v>
      </c>
    </row>
    <row r="4" spans="1:6" ht="31.5" customHeight="1" x14ac:dyDescent="0.3">
      <c r="A4" s="7" t="s">
        <v>137</v>
      </c>
      <c r="B4" s="7" t="s">
        <v>138</v>
      </c>
      <c r="C4" s="7" t="s">
        <v>139</v>
      </c>
      <c r="D4" s="7" t="s">
        <v>140</v>
      </c>
      <c r="E4" s="7" t="s">
        <v>141</v>
      </c>
      <c r="F4" s="7" t="s">
        <v>142</v>
      </c>
    </row>
    <row r="5" spans="1:6" ht="14.25" customHeight="1" x14ac:dyDescent="0.3">
      <c r="A5" s="46" t="s">
        <v>143</v>
      </c>
      <c r="B5" s="47">
        <v>110</v>
      </c>
      <c r="C5" s="47">
        <v>40</v>
      </c>
      <c r="D5" s="47">
        <v>35</v>
      </c>
      <c r="E5" s="47">
        <v>30</v>
      </c>
      <c r="F5" s="48" t="s">
        <v>144</v>
      </c>
    </row>
    <row r="6" spans="1:6" ht="14.25" customHeight="1" x14ac:dyDescent="0.3">
      <c r="A6" s="31" t="s">
        <v>145</v>
      </c>
      <c r="B6" s="35"/>
      <c r="C6" s="35"/>
      <c r="D6" s="35"/>
      <c r="E6" s="35"/>
      <c r="F6" s="49"/>
    </row>
    <row r="7" spans="1:6" ht="14.25" customHeight="1" x14ac:dyDescent="0.3">
      <c r="A7" s="31" t="s">
        <v>146</v>
      </c>
      <c r="B7" s="35"/>
      <c r="C7" s="35"/>
      <c r="D7" s="35"/>
      <c r="E7" s="35"/>
      <c r="F7" s="49"/>
    </row>
    <row r="8" spans="1:6" ht="14.25" customHeight="1" x14ac:dyDescent="0.3">
      <c r="A8" s="31" t="s">
        <v>147</v>
      </c>
      <c r="B8" s="35"/>
      <c r="C8" s="35"/>
      <c r="D8" s="35"/>
      <c r="E8" s="35"/>
      <c r="F8" s="49"/>
    </row>
    <row r="9" spans="1:6" ht="14.25" customHeight="1" x14ac:dyDescent="0.3">
      <c r="A9" s="31" t="s">
        <v>148</v>
      </c>
      <c r="B9" s="35"/>
      <c r="C9" s="35"/>
      <c r="D9" s="35"/>
      <c r="E9" s="35"/>
      <c r="F9" s="49"/>
    </row>
    <row r="10" spans="1:6" ht="14.25" customHeight="1" x14ac:dyDescent="0.3">
      <c r="A10" s="31" t="s">
        <v>149</v>
      </c>
      <c r="B10" s="35"/>
      <c r="C10" s="35"/>
      <c r="D10" s="35"/>
      <c r="E10" s="35"/>
      <c r="F10" s="49"/>
    </row>
    <row r="11" spans="1:6" ht="14.25" customHeight="1" x14ac:dyDescent="0.3">
      <c r="A11" s="31" t="s">
        <v>150</v>
      </c>
      <c r="B11" s="35"/>
      <c r="C11" s="35"/>
      <c r="D11" s="35"/>
      <c r="E11" s="35"/>
      <c r="F11" s="49"/>
    </row>
    <row r="12" spans="1:6" ht="14.25" customHeight="1" x14ac:dyDescent="0.3">
      <c r="A12" s="31" t="s">
        <v>151</v>
      </c>
      <c r="B12" s="35"/>
      <c r="C12" s="35"/>
      <c r="D12" s="35"/>
      <c r="E12" s="35"/>
      <c r="F12" s="49"/>
    </row>
    <row r="13" spans="1:6" ht="14.25" customHeight="1" x14ac:dyDescent="0.3">
      <c r="A13" s="31" t="s">
        <v>152</v>
      </c>
      <c r="B13" s="35"/>
      <c r="C13" s="35"/>
      <c r="D13" s="35"/>
      <c r="E13" s="35"/>
      <c r="F13" s="49"/>
    </row>
    <row r="14" spans="1:6" ht="14.25" customHeight="1" x14ac:dyDescent="0.3">
      <c r="A14" s="31" t="s">
        <v>153</v>
      </c>
      <c r="B14" s="35"/>
      <c r="C14" s="35"/>
      <c r="D14" s="35"/>
      <c r="E14" s="35"/>
      <c r="F14" s="49"/>
    </row>
    <row r="15" spans="1:6" ht="14.25" customHeight="1" x14ac:dyDescent="0.3">
      <c r="A15" s="31" t="s">
        <v>154</v>
      </c>
      <c r="B15" s="35"/>
      <c r="C15" s="35"/>
      <c r="D15" s="35"/>
      <c r="E15" s="35"/>
      <c r="F15" s="49"/>
    </row>
    <row r="16" spans="1:6" ht="14.25" customHeight="1" x14ac:dyDescent="0.3">
      <c r="A16" s="31" t="s">
        <v>155</v>
      </c>
      <c r="B16" s="35"/>
      <c r="C16" s="35"/>
      <c r="D16" s="35"/>
      <c r="E16" s="35"/>
      <c r="F16" s="49"/>
    </row>
    <row r="17" spans="1:6" ht="14.25" customHeight="1" x14ac:dyDescent="0.3">
      <c r="A17" s="31" t="s">
        <v>156</v>
      </c>
      <c r="B17" s="35"/>
      <c r="C17" s="35"/>
      <c r="D17" s="35"/>
      <c r="E17" s="35"/>
      <c r="F17" s="49"/>
    </row>
  </sheetData>
  <mergeCells count="1">
    <mergeCell ref="A1:F1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9D9D9"/>
    <pageSetUpPr fitToPage="1"/>
  </sheetPr>
  <dimension ref="A1:A27"/>
  <sheetViews>
    <sheetView showGridLines="0" zoomScale="90" zoomScaleNormal="90" workbookViewId="0">
      <selection activeCell="E21" sqref="E21"/>
    </sheetView>
  </sheetViews>
  <sheetFormatPr defaultColWidth="8.6640625" defaultRowHeight="14.4" x14ac:dyDescent="0.3"/>
  <cols>
    <col min="1" max="1" width="100" customWidth="1"/>
  </cols>
  <sheetData>
    <row r="1" spans="1:1" ht="25.5" customHeight="1" x14ac:dyDescent="0.3">
      <c r="A1" s="25" t="s">
        <v>178</v>
      </c>
    </row>
    <row r="3" spans="1:1" ht="15" customHeight="1" x14ac:dyDescent="0.3">
      <c r="A3" s="13" t="s">
        <v>179</v>
      </c>
    </row>
    <row r="4" spans="1:1" ht="30" customHeight="1" x14ac:dyDescent="0.3">
      <c r="A4" s="54" t="s">
        <v>180</v>
      </c>
    </row>
    <row r="5" spans="1:1" ht="30" customHeight="1" x14ac:dyDescent="0.3">
      <c r="A5" s="54" t="s">
        <v>204</v>
      </c>
    </row>
    <row r="6" spans="1:1" ht="30" customHeight="1" x14ac:dyDescent="0.3">
      <c r="A6" s="55" t="s">
        <v>181</v>
      </c>
    </row>
    <row r="7" spans="1:1" ht="30" customHeight="1" x14ac:dyDescent="0.3">
      <c r="A7" s="56" t="s">
        <v>182</v>
      </c>
    </row>
    <row r="8" spans="1:1" ht="30" customHeight="1" x14ac:dyDescent="0.3">
      <c r="A8" s="56" t="s">
        <v>183</v>
      </c>
    </row>
    <row r="9" spans="1:1" ht="30" customHeight="1" x14ac:dyDescent="0.3">
      <c r="A9" s="56" t="s">
        <v>184</v>
      </c>
    </row>
    <row r="10" spans="1:1" ht="30" customHeight="1" x14ac:dyDescent="0.3">
      <c r="A10" s="65" t="s">
        <v>185</v>
      </c>
    </row>
    <row r="12" spans="1:1" ht="15" customHeight="1" x14ac:dyDescent="0.3">
      <c r="A12" s="13" t="s">
        <v>186</v>
      </c>
    </row>
    <row r="13" spans="1:1" ht="30" customHeight="1" x14ac:dyDescent="0.3">
      <c r="A13" s="56" t="s">
        <v>187</v>
      </c>
    </row>
    <row r="14" spans="1:1" ht="30" customHeight="1" x14ac:dyDescent="0.3">
      <c r="A14" s="56" t="s">
        <v>188</v>
      </c>
    </row>
    <row r="15" spans="1:1" ht="30" customHeight="1" x14ac:dyDescent="0.3">
      <c r="A15" s="56" t="s">
        <v>189</v>
      </c>
    </row>
    <row r="17" spans="1:1" ht="15" customHeight="1" x14ac:dyDescent="0.3">
      <c r="A17" s="57" t="s">
        <v>190</v>
      </c>
    </row>
    <row r="18" spans="1:1" ht="30" customHeight="1" x14ac:dyDescent="0.3">
      <c r="A18" s="56" t="s">
        <v>191</v>
      </c>
    </row>
    <row r="19" spans="1:1" ht="30" customHeight="1" x14ac:dyDescent="0.3">
      <c r="A19" s="54" t="s">
        <v>192</v>
      </c>
    </row>
    <row r="20" spans="1:1" ht="30" customHeight="1" x14ac:dyDescent="0.3">
      <c r="A20" s="56" t="s">
        <v>193</v>
      </c>
    </row>
    <row r="21" spans="1:1" ht="30" customHeight="1" x14ac:dyDescent="0.3">
      <c r="A21" s="66" t="s">
        <v>207</v>
      </c>
    </row>
    <row r="24" spans="1:1" ht="15" customHeight="1" x14ac:dyDescent="0.3">
      <c r="A24" s="13" t="s">
        <v>194</v>
      </c>
    </row>
    <row r="25" spans="1:1" ht="60" customHeight="1" x14ac:dyDescent="0.3">
      <c r="A25" s="58" t="s">
        <v>195</v>
      </c>
    </row>
    <row r="26" spans="1:1" ht="60" customHeight="1" x14ac:dyDescent="0.3">
      <c r="A26" s="58" t="s">
        <v>196</v>
      </c>
    </row>
    <row r="27" spans="1:1" ht="60" customHeight="1" x14ac:dyDescent="0.3">
      <c r="A27" s="58" t="s">
        <v>197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Resumo</vt:lpstr>
      <vt:lpstr>Volume Semanal</vt:lpstr>
      <vt:lpstr>Segunda</vt:lpstr>
      <vt:lpstr>Terça</vt:lpstr>
      <vt:lpstr>Quinta</vt:lpstr>
      <vt:lpstr>Sexta</vt:lpstr>
      <vt:lpstr>Hábitos e Recomendações</vt:lpstr>
      <vt:lpstr>Progressão de Carga</vt:lpstr>
      <vt:lpstr>Observações e Diretrizes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Matheus Guedes</cp:lastModifiedBy>
  <cp:revision>3</cp:revision>
  <dcterms:created xsi:type="dcterms:W3CDTF">2026-07-28T20:40:46Z</dcterms:created>
  <dcterms:modified xsi:type="dcterms:W3CDTF">2026-08-03T19:12:34Z</dcterms:modified>
  <dc:language>en-US</dc:language>
</cp:coreProperties>
</file>